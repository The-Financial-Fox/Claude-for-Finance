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ris\OneDrive\Power BI Teach\Datasets\Guides\"/>
    </mc:Choice>
  </mc:AlternateContent>
  <xr:revisionPtr revIDLastSave="0" documentId="13_ncr:1_{F875D0BD-432E-47BB-A9DE-1A27BABA53C5}" xr6:coauthVersionLast="47" xr6:coauthVersionMax="47" xr10:uidLastSave="{00000000-0000-0000-0000-000000000000}"/>
  <bookViews>
    <workbookView xWindow="-23148" yWindow="-84" windowWidth="23256" windowHeight="12456" tabRatio="809" activeTab="1" xr2:uid="{00000000-000D-0000-FFFF-FFFF00000000}"/>
  </bookViews>
  <sheets>
    <sheet name="Welcome" sheetId="1" r:id="rId1"/>
    <sheet name="Models Guide" sheetId="5" r:id="rId2"/>
    <sheet name="1 - Revenue Forecast" sheetId="2" r:id="rId3"/>
    <sheet name="2 - Budget vs Actuals" sheetId="3" r:id="rId4"/>
    <sheet name="3 - Scenario 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9" i="3" l="1"/>
  <c r="C49" i="3"/>
  <c r="B49" i="3"/>
  <c r="F48" i="3"/>
  <c r="E48" i="3"/>
  <c r="F47" i="3"/>
  <c r="F49" i="3" s="1"/>
  <c r="E47" i="3"/>
  <c r="E49" i="3" s="1"/>
  <c r="F46" i="3"/>
  <c r="E46" i="3"/>
  <c r="F45" i="3"/>
  <c r="E45" i="3"/>
  <c r="F44" i="3"/>
  <c r="E44" i="3"/>
  <c r="G36" i="3"/>
  <c r="C36" i="3"/>
  <c r="B36" i="3"/>
  <c r="E36" i="3" s="1"/>
  <c r="I35" i="3"/>
  <c r="F35" i="3"/>
  <c r="E35" i="3"/>
  <c r="D35" i="3"/>
  <c r="I34" i="3"/>
  <c r="F34" i="3"/>
  <c r="E34" i="3"/>
  <c r="D34" i="3"/>
  <c r="I33" i="3"/>
  <c r="F33" i="3"/>
  <c r="E33" i="3"/>
  <c r="D33" i="3"/>
  <c r="I32" i="3"/>
  <c r="F32" i="3"/>
  <c r="E32" i="3"/>
  <c r="D32" i="3"/>
  <c r="I31" i="3"/>
  <c r="F31" i="3"/>
  <c r="E31" i="3"/>
  <c r="D31" i="3"/>
  <c r="I30" i="3"/>
  <c r="F30" i="3"/>
  <c r="E30" i="3"/>
  <c r="D30" i="3"/>
  <c r="G25" i="3"/>
  <c r="C25" i="3"/>
  <c r="B25" i="3"/>
  <c r="E25" i="3" s="1"/>
  <c r="I24" i="3"/>
  <c r="F24" i="3"/>
  <c r="E24" i="3"/>
  <c r="D24" i="3"/>
  <c r="I23" i="3"/>
  <c r="F23" i="3"/>
  <c r="E23" i="3"/>
  <c r="D23" i="3"/>
  <c r="I22" i="3"/>
  <c r="F22" i="3"/>
  <c r="E22" i="3"/>
  <c r="D22" i="3"/>
  <c r="G19" i="3"/>
  <c r="C19" i="3"/>
  <c r="B19" i="3"/>
  <c r="I18" i="3"/>
  <c r="F18" i="3"/>
  <c r="E18" i="3"/>
  <c r="D18" i="3"/>
  <c r="I17" i="3"/>
  <c r="F17" i="3"/>
  <c r="E17" i="3"/>
  <c r="D17" i="3"/>
  <c r="I16" i="3"/>
  <c r="F16" i="3"/>
  <c r="E16" i="3"/>
  <c r="D16" i="3"/>
  <c r="G21" i="2"/>
  <c r="G26" i="2" s="1"/>
  <c r="F21" i="2"/>
  <c r="F26" i="2" s="1"/>
  <c r="E21" i="2"/>
  <c r="E26" i="2" s="1"/>
  <c r="D21" i="2"/>
  <c r="D26" i="2" s="1"/>
  <c r="C21" i="2"/>
  <c r="C26" i="2" s="1"/>
  <c r="B21" i="2"/>
  <c r="B26" i="2" s="1"/>
  <c r="I36" i="3" l="1"/>
  <c r="D36" i="3"/>
  <c r="I25" i="3"/>
  <c r="D25" i="3"/>
  <c r="G39" i="3"/>
  <c r="G26" i="3"/>
  <c r="C26" i="3"/>
  <c r="C27" i="3" s="1"/>
  <c r="I19" i="3"/>
  <c r="D19" i="3"/>
  <c r="B27" i="3"/>
  <c r="B26" i="3"/>
  <c r="E19" i="3"/>
  <c r="D26" i="3" l="1"/>
  <c r="I26" i="3"/>
  <c r="C38" i="3"/>
  <c r="E26" i="3"/>
  <c r="B38" i="3"/>
  <c r="G38" i="3"/>
  <c r="G27" i="3"/>
  <c r="C39" i="3" l="1"/>
  <c r="D38" i="3"/>
  <c r="I38" i="3"/>
  <c r="B39" i="3"/>
  <c r="E38" i="3"/>
</calcChain>
</file>

<file path=xl/sharedStrings.xml><?xml version="1.0" encoding="utf-8"?>
<sst xmlns="http://schemas.openxmlformats.org/spreadsheetml/2006/main" count="431" uniqueCount="356">
  <si>
    <t>What is Claude in Excel?</t>
  </si>
  <si>
    <t>Claude in Excel is an AI-powered add-in by Anthropic that integrates directly into your Excel workflow. It reads your workbook — cells, formulas, tabs — and helps you build, analyze, debug, and format spreadsheets using natural language. It's designed for finance professionals who live in Excel.</t>
  </si>
  <si>
    <t>Who is this guide for?</t>
  </si>
  <si>
    <t>FP&amp;A analysts, financial modelers, controllers, and anyone who uses Excel for budgeting, forecasting, variance analysis, or financial reporting. No AI experience required.</t>
  </si>
  <si>
    <t>How to install</t>
  </si>
  <si>
    <t>Available models</t>
  </si>
  <si>
    <t>Sonnet 4.6 — fast, efficient for everyday tasks.  Opus 4.6 — most advanced, ideal for complex modeling &amp; analysis.</t>
  </si>
  <si>
    <t>Key capabilities for FP&amp;A</t>
  </si>
  <si>
    <t>• Ask questions about your workbook with cell-level citations
• Update assumptions while preserving formula dependencies
• Build financial models from scratch (3-statement, DCF, LBO)
• Debug formula errors (#REF!, #VALUE!, circular refs)
• Variance analysis, forecasting, scenario modeling
• Data cleaning &amp; standardization
• Charts, dashboards, conditional formatting
• Connectors: pull data from S&amp;P, FactSet, Pitchbook &amp; more</t>
  </si>
  <si>
    <t>Best practices</t>
  </si>
  <si>
    <t>• Always review Claude's changes before saving
• Verify outputs match your org's methodologies
• Use for drafting &amp; acceleration — not as a replacement for financial judgment
• Only use with trusted spreadsheets (beware prompt injection in external files)</t>
  </si>
  <si>
    <t>What's in this workbook?</t>
  </si>
  <si>
    <t>This guide contains 3 interactive use cases with sample datasets and assumptions you can try with Claude in Excel:
   Tab 1 → Revenue Forecast — 12-month forecast with historical data &amp; growth assumptions
   Tab 2 → Budget vs Actuals — Monthly variance analysis with department-level data
   Tab 3 → Scenario Analysis — Base / Bull / Bear cases for a SaaS company
Open each tab, activate Claude, and try the suggested prompts!</t>
  </si>
  <si>
    <t>Quick-Start Prompt Ideas</t>
  </si>
  <si>
    <t>Understand your model</t>
  </si>
  <si>
    <t>"Explain how the revenue forecast flows into the P&amp;L"</t>
  </si>
  <si>
    <t>Update assumptions</t>
  </si>
  <si>
    <t>"Increase the growth rate to 8% and show impact on EBITDA"</t>
  </si>
  <si>
    <t>Build from scratch</t>
  </si>
  <si>
    <t>"Build a 12-month cash flow forecast using the data on this sheet"</t>
  </si>
  <si>
    <t>Debug errors</t>
  </si>
  <si>
    <t>"Why is cell F12 showing #VALUE!? Trace the issue."</t>
  </si>
  <si>
    <t>Variance analysis</t>
  </si>
  <si>
    <t>"Compare actuals to budget and explain the top 5 variances"</t>
  </si>
  <si>
    <t>Scenario modeling</t>
  </si>
  <si>
    <t>"Create a bear case assuming revenue drops 20%"</t>
  </si>
  <si>
    <t>Format &amp; present</t>
  </si>
  <si>
    <t>"Format this model using IB conventions (blue inputs, black formulas)"</t>
  </si>
  <si>
    <t>USE CASE 1: 12-Month Revenue Forecast</t>
  </si>
  <si>
    <t>Scenario: You're an FP&amp;A analyst building a monthly revenue forecast for a mid-market SaaS company. Use Claude to extend, validate, and scenario-test this data.</t>
  </si>
  <si>
    <t>ASSUMPTIONS</t>
  </si>
  <si>
    <t>Assumption</t>
  </si>
  <si>
    <t>Value</t>
  </si>
  <si>
    <t>Unit</t>
  </si>
  <si>
    <t>Notes</t>
  </si>
  <si>
    <t>Base MRR (Dec 2025)</t>
  </si>
  <si>
    <t>$</t>
  </si>
  <si>
    <t>Starting monthly recurring revenue</t>
  </si>
  <si>
    <t>Monthly growth rate — Subscription</t>
  </si>
  <si>
    <t>%</t>
  </si>
  <si>
    <t>Organic + upsell</t>
  </si>
  <si>
    <t>Monthly growth rate — Usage</t>
  </si>
  <si>
    <t>Consumption-based revenue</t>
  </si>
  <si>
    <t>Avg. new customer MRR</t>
  </si>
  <si>
    <t>Blended across plans</t>
  </si>
  <si>
    <t>Net new customers / month</t>
  </si>
  <si>
    <t>#</t>
  </si>
  <si>
    <t>After churn</t>
  </si>
  <si>
    <t>Gross churn rate (monthly)</t>
  </si>
  <si>
    <t>Logo churn</t>
  </si>
  <si>
    <t>Price increase (effective Apr 2026)</t>
  </si>
  <si>
    <t>Annual contract renewal uplift</t>
  </si>
  <si>
    <t>Services revenue / month</t>
  </si>
  <si>
    <t>Implementation &amp; consulting</t>
  </si>
  <si>
    <t>Services growth rate</t>
  </si>
  <si>
    <t>Quarterly step-up</t>
  </si>
  <si>
    <t>HISTORICAL DATA (Jul 2025 – Dec 2025)</t>
  </si>
  <si>
    <t>Metric</t>
  </si>
  <si>
    <t>Jul-25</t>
  </si>
  <si>
    <t>Aug-25</t>
  </si>
  <si>
    <t>Sep-25</t>
  </si>
  <si>
    <t>Oct-25</t>
  </si>
  <si>
    <t>Nov-25</t>
  </si>
  <si>
    <t>Dec-25</t>
  </si>
  <si>
    <t>Subscription Revenue</t>
  </si>
  <si>
    <t>Usage Revenue</t>
  </si>
  <si>
    <t>Services Revenue</t>
  </si>
  <si>
    <t>Total Revenue</t>
  </si>
  <si>
    <t>Active Customers</t>
  </si>
  <si>
    <t>New Customers</t>
  </si>
  <si>
    <t>Churned Customers</t>
  </si>
  <si>
    <t>ARPU ($)</t>
  </si>
  <si>
    <t>FORECAST (Jan 2026 – Dec 2026) — Ask Claude to build this!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</si>
  <si>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</si>
  <si>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</si>
  <si>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</si>
  <si>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</si>
  <si>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</si>
  <si>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</si>
  <si>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</si>
  <si>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</si>
  <si>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</si>
  <si>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</si>
  <si>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</si>
  <si>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</si>
  <si>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MoM Growth %</t>
  </si>
  <si>
    <t>YoY Revenue (annualized)</t>
  </si>
  <si>
    <t>TRY THESE PROMPTS WITH CLAUDE</t>
  </si>
  <si>
    <t>→  "Using the assumptions and historical data above, build a 12-month revenue forecast for Jan–Dec 2026."</t>
  </si>
  <si>
    <t>→  "What happens to total revenue if we increase the monthly growth rate to 5%? Update the assumptions."</t>
  </si>
  <si>
    <t>→  "Add a line for cumulative revenue and chart monthly vs cumulative revenue."</t>
  </si>
  <si>
    <t>→  "Explain how the subscription revenue forecast is calculated, with cell references."</t>
  </si>
  <si>
    <t>→  "Create a sensitivity table showing annual revenue at growth rates from 2% to 6%."</t>
  </si>
  <si>
    <t>USE CASE 2: Budget vs Actuals — Monthly Variance Analysis</t>
  </si>
  <si>
    <t>Scenario: You're reviewing January 2026 financials. Compare actuals to budget, identify key variances, and ask Claude to explain and recommend actions.</t>
  </si>
  <si>
    <t>BUDGET ASSUMPTIONS (FY2026)</t>
  </si>
  <si>
    <t>Budget</t>
  </si>
  <si>
    <t>Annual Revenue Target</t>
  </si>
  <si>
    <t>Board-approved plan</t>
  </si>
  <si>
    <t>Monthly Revenue (avg)</t>
  </si>
  <si>
    <t>Evenly distributed</t>
  </si>
  <si>
    <t>Gross Margin Target</t>
  </si>
  <si>
    <t>Up from 70% in FY25</t>
  </si>
  <si>
    <t>Total OpEx Budget (monthly)</t>
  </si>
  <si>
    <t>All departments</t>
  </si>
  <si>
    <t>Headcount (Jan)</t>
  </si>
  <si>
    <t>Per hiring plan</t>
  </si>
  <si>
    <t>EBITDA Margin Target</t>
  </si>
  <si>
    <t>Path to profitability</t>
  </si>
  <si>
    <t>JANUARY 2026 — P&amp;L BUDGET vs ACTUALS</t>
  </si>
  <si>
    <t>Line Item</t>
  </si>
  <si>
    <t>Actual</t>
  </si>
  <si>
    <t>Variance ($)</t>
  </si>
  <si>
    <t>Variance (%)</t>
  </si>
  <si>
    <t>Fav/Unfav</t>
  </si>
  <si>
    <t>Q1 Budget</t>
  </si>
  <si>
    <t>Q1 Forecast</t>
  </si>
  <si>
    <t>YTD</t>
  </si>
  <si>
    <t>Revenue</t>
  </si>
  <si>
    <t xml:space="preserve">  Subscription Revenue</t>
  </si>
  <si>
    <t xml:space="preserve">  Usage Revenue</t>
  </si>
  <si>
    <t xml:space="preserve">  Services Revenue</t>
  </si>
  <si>
    <t>Cost of Revenue</t>
  </si>
  <si>
    <t xml:space="preserve">  Hosting &amp; Infrastructure</t>
  </si>
  <si>
    <t xml:space="preserve">  Customer Success</t>
  </si>
  <si>
    <t xml:space="preserve">  Payment Processing</t>
  </si>
  <si>
    <t>Total COGS</t>
  </si>
  <si>
    <t>Gross Profit</t>
  </si>
  <si>
    <t>Gross Margin %</t>
  </si>
  <si>
    <t>Operating Expenses</t>
  </si>
  <si>
    <t xml:space="preserve">  Sales &amp; Marketing</t>
  </si>
  <si>
    <t xml:space="preserve">  Research &amp; Development</t>
  </si>
  <si>
    <t xml:space="preserve">  General &amp; Administrative</t>
  </si>
  <si>
    <t xml:space="preserve">  Rent &amp; Facilities</t>
  </si>
  <si>
    <t xml:space="preserve">  Professional Services</t>
  </si>
  <si>
    <t xml:space="preserve">  Other OpEx</t>
  </si>
  <si>
    <t>Total OpEx</t>
  </si>
  <si>
    <t>EBITDA</t>
  </si>
  <si>
    <t>EBITDA Margin %</t>
  </si>
  <si>
    <t>DEPARTMENT HEADCOUNT &amp; SPEND DETAIL</t>
  </si>
  <si>
    <t>Department</t>
  </si>
  <si>
    <t>Headcount</t>
  </si>
  <si>
    <t>Budget Spend</t>
  </si>
  <si>
    <t>Actual Spend</t>
  </si>
  <si>
    <t>Variance</t>
  </si>
  <si>
    <t>Cost/Head</t>
  </si>
  <si>
    <t>Sales &amp; Marketing</t>
  </si>
  <si>
    <t>Engineering (R&amp;D)</t>
  </si>
  <si>
    <t>G&amp;A / Finance</t>
  </si>
  <si>
    <t>Customer Success</t>
  </si>
  <si>
    <t>Executive</t>
  </si>
  <si>
    <t>Total</t>
  </si>
  <si>
    <t>→  "Compare actuals to budget and explain the largest variances. Which line items should I flag for the CFO?"</t>
  </si>
  <si>
    <t>→  "Based on January actuals, forecast Q1 revenue and fill in the Q1 Forecast column."</t>
  </si>
  <si>
    <t>→  "Why is the EBITDA margin below target? Break down the drivers."</t>
  </si>
  <si>
    <t>→  "Create a waterfall chart showing the bridge from budget EBITDA to actual EBITDA."</t>
  </si>
  <si>
    <t>→  "Highlight all unfavorable variances &gt; 5% with conditional formatting in red."</t>
  </si>
  <si>
    <t>→  "Which department has the highest cost per headcount? Is that expected?"</t>
  </si>
  <si>
    <t>USE CASE 3: Scenario Analysis — Base / Bull / Bear</t>
  </si>
  <si>
    <t>Scenario: You're preparing a board presentation for a SaaS company. Build 3 scenarios with different growth/margin assumptions and let Claude calculate the P&amp;L impact.</t>
  </si>
  <si>
    <t>SCENARIO ASSUMPTIONS</t>
  </si>
  <si>
    <t>Bear Case</t>
  </si>
  <si>
    <t>Base Case</t>
  </si>
  <si>
    <t>Bull Case</t>
  </si>
  <si>
    <t>Revenue Growth (YoY)</t>
  </si>
  <si>
    <t>Annual top-line growth</t>
  </si>
  <si>
    <t>Gross Margin</t>
  </si>
  <si>
    <t>Scale efficiencies in bull case</t>
  </si>
  <si>
    <t>S&amp;M as % of Revenue</t>
  </si>
  <si>
    <t>Efficiency gains at scale</t>
  </si>
  <si>
    <t>R&amp;D as % of Revenue</t>
  </si>
  <si>
    <t>Leverage in bull case</t>
  </si>
  <si>
    <t>G&amp;A as % of Revenue</t>
  </si>
  <si>
    <t>Operating leverage</t>
  </si>
  <si>
    <t>Net New ARR ($M)</t>
  </si>
  <si>
    <t>Bookings assumption</t>
  </si>
  <si>
    <t>Logo Churn (annual)</t>
  </si>
  <si>
    <t>Retention rates</t>
  </si>
  <si>
    <t>Net Revenue Retention</t>
  </si>
  <si>
    <t>Expansion + churn</t>
  </si>
  <si>
    <t>Headcount Growth</t>
  </si>
  <si>
    <t>Hiring plan</t>
  </si>
  <si>
    <t>CapEx (% of Rev)</t>
  </si>
  <si>
    <t>Capital intensity</t>
  </si>
  <si>
    <t>BASE YEAR DATA (FY2025 Actuals)</t>
  </si>
  <si>
    <t>FY2025 Actual</t>
  </si>
  <si>
    <t>EBITDA Margin</t>
  </si>
  <si>
    <t>ARR (ending)</t>
  </si>
  <si>
    <t>Employees</t>
  </si>
  <si>
    <t>PROJECTED P&amp;L — FY2026 (Ask Claude to build this!)</t>
  </si>
  <si>
    <t>Bear vs Base</t>
  </si>
  <si>
    <t>Bull vs Base</t>
  </si>
  <si>
    <t>Research &amp; Development</t>
  </si>
  <si>
    <t>General &amp; Administrative</t>
  </si>
  <si>
    <t>Free Cash Flow</t>
  </si>
  <si>
    <t>FCF Margin %</t>
  </si>
  <si>
    <t>Key Metrics:</t>
  </si>
  <si>
    <t>Revenue / Employee</t>
  </si>
  <si>
    <t>→  "Using the scenario assumptions and FY2025 actuals, build the FY2026 projected P&amp;L for all three scenarios."</t>
  </si>
  <si>
    <t>→  "What's the EBITDA margin difference between bear and bull case? Explain the key drivers."</t>
  </si>
  <si>
    <t>→  "Create a sensitivity table showing EBITDA at different revenue growth and gross margin combinations."</t>
  </si>
  <si>
    <t>→  "Add a FCF waterfall chart comparing the three scenarios."</t>
  </si>
  <si>
    <t>→  "What would it take to hit a 20% EBITDA margin in the bear case? Suggest OpEx cuts."</t>
  </si>
  <si>
    <t>→  "Build a chart comparing revenue, gross profit, and EBITDA across all three scenarios."</t>
  </si>
  <si>
    <t>1) Go to Excel Add-ins and search 'Claude by Anthropic for Excel'  →  2) Click 'Get it now'  →  3) Open Excel, activate the add-in (Home &gt; Add-ins on Windows, Tools &gt; Add-ins on Mac)  →  4) Sign in with your Claude account (Pro, Max, Team, or Enterprise).</t>
  </si>
  <si>
    <t>Example →</t>
  </si>
  <si>
    <t>More info</t>
  </si>
  <si>
    <t>Use Claude in Excel | Claude Help Center</t>
  </si>
  <si>
    <t>Get started with Claude in Excel</t>
  </si>
  <si>
    <t>For individuals</t>
  </si>
  <si>
    <t>Navigate to the Claude in Excel listing on Microsoft Marketplace.</t>
  </si>
  <si>
    <t>Click "Get it now" to install the add-in.</t>
  </si>
  <si>
    <t>Open Excel, activate the add-in, and sign in with your Claude account.</t>
  </si>
  <si>
    <t>For admins</t>
  </si>
  <si>
    <t>Deploy Claude in Excel to your organization:</t>
  </si>
  <si>
    <t>Visit the Microsoft 365 Admin Center.</t>
  </si>
  <si>
    <t>Navigate to Settings &gt; Org Settings &gt; User owned apps and services and ensure that “Let users access the Office Store" is toggled on.</t>
  </si>
  <si>
    <r>
      <t xml:space="preserve">Navigate to </t>
    </r>
    <r>
      <rPr>
        <b/>
        <sz val="10"/>
        <color rgb="FF1A1A1A"/>
        <rFont val="Segoe UI"/>
        <family val="2"/>
      </rPr>
      <t>Settings &gt; Integrated apps &gt; Add-ins</t>
    </r>
    <r>
      <rPr>
        <sz val="10"/>
        <color rgb="FF1A1A1A"/>
        <rFont val="Segoe UI"/>
        <family val="2"/>
      </rPr>
      <t>.</t>
    </r>
  </si>
  <si>
    <t>Search for "Claude by Anthropic for Excel" in Microsoft AppSource.</t>
  </si>
  <si>
    <t>Deploy the add-in to your organization or specific users.</t>
  </si>
  <si>
    <t>Share these instructions with your team: Microsoft's deployment guide.</t>
  </si>
  <si>
    <r>
      <t xml:space="preserve">After installation, team members can open Excel, activate the Claude add-in (from </t>
    </r>
    <r>
      <rPr>
        <b/>
        <sz val="10"/>
        <color rgb="FF1A1A1A"/>
        <rFont val="Segoe UI"/>
        <family val="2"/>
      </rPr>
      <t>Tools &gt; Add-ins</t>
    </r>
    <r>
      <rPr>
        <sz val="10"/>
        <color rgb="FF1A1A1A"/>
        <rFont val="Segoe UI"/>
        <family val="2"/>
      </rPr>
      <t xml:space="preserve"> on Mac or </t>
    </r>
    <r>
      <rPr>
        <b/>
        <sz val="10"/>
        <color rgb="FF1A1A1A"/>
        <rFont val="Segoe UI"/>
        <family val="2"/>
      </rPr>
      <t>Home &gt; Add-ins</t>
    </r>
    <r>
      <rPr>
        <sz val="10"/>
        <color rgb="FF1A1A1A"/>
        <rFont val="Segoe UI"/>
        <family val="2"/>
      </rPr>
      <t xml:space="preserve"> on Windows), sign in with their Claude credentials, and start working with their spreadsheets.</t>
    </r>
  </si>
  <si>
    <t>Key features</t>
  </si>
  <si>
    <t>Read and understand complex models</t>
  </si>
  <si>
    <t>Ask Claude questions about specific cells, formulas, or entire sections of your workbook. Claude can navigate across multiple tabs and provides answers with direct citations to referenced cells.</t>
  </si>
  <si>
    <t>Example prompts:</t>
  </si>
  <si>
    <t>"What assumptions drive the revenue forecast in Q3?"</t>
  </si>
  <si>
    <t>"Explain how the WACC calculation flows through the DCF model"</t>
  </si>
  <si>
    <t>Update assumptions safely</t>
  </si>
  <si>
    <t>Modify values and inputs while Claude maintains all formula dependencies and relationships. Every change is highlighted with clear explanations.</t>
  </si>
  <si>
    <t>"Increase growth rate by 2% and show the impact on terminal value"</t>
  </si>
  <si>
    <t>"Update interest rate assumptions based on latest Fed guidance"</t>
  </si>
  <si>
    <t>Build and fill templates</t>
  </si>
  <si>
    <t>Create spreadsheets from scratch or populate existing templates with new data, formulas, and assumptions.</t>
  </si>
  <si>
    <t>"Build a three-statement model for a SaaS company"</t>
  </si>
  <si>
    <t>"Fill this DCF template with data from the uploaded 10-K"</t>
  </si>
  <si>
    <t>Debug and fix errors</t>
  </si>
  <si>
    <t>Identify error sources (like #REF!, #VALUE!, or circular references) and get actionable fixes that maintain spreadsheet integrity.</t>
  </si>
  <si>
    <t>"Why is this NPV calculation returning #VALUE?"</t>
  </si>
  <si>
    <t>"Find all circular references in this workbook"</t>
  </si>
  <si>
    <t>Change tracking and citations</t>
  </si>
  <si>
    <t>Claude highlights every cell it updates and provides explanatory comments. When explaining calculations, Claude includes clickable citations that navigate directly to referenced cells.</t>
  </si>
  <si>
    <t>Edit and format natively</t>
  </si>
  <si>
    <t>Claude can now apply a range of Excel-native operations directly, including sorting and filtering data, editing pivot tables and charts, applying conditional formatting rules, setting data validation, and preparing workbooks for printing with finance-specific formatting tools.</t>
  </si>
  <si>
    <t>"Sort this table by revenue, descending"</t>
  </si>
  <si>
    <t>"Add a conditional format that highlights cells below the target threshold in red"</t>
  </si>
  <si>
    <t>"Set up a dropdown for the status column with options: Active, Pending, Closed"</t>
  </si>
  <si>
    <t>"Toggle off gridlines and set the print area to A1:F20"</t>
  </si>
  <si>
    <t>Example use cases</t>
  </si>
  <si>
    <t>Financial modeling</t>
  </si>
  <si>
    <t>Build models</t>
  </si>
  <si>
    <t>"Build a 3-statement financial model for [company/industry]"</t>
  </si>
  <si>
    <t>"Create a SaaS metrics model with ARR, churn, and LTV calculations"</t>
  </si>
  <si>
    <t>"Build an LBO model with debt schedules and returns analysis"</t>
  </si>
  <si>
    <t>"Create a real estate pro forma for a multifamily acquisition"</t>
  </si>
  <si>
    <t>Forecasting</t>
  </si>
  <si>
    <t>"Build a 12-month revenue forecast using historical trends"</t>
  </si>
  <si>
    <t>"Create a headcount capacity plan based on target client count"</t>
  </si>
  <si>
    <t>"Model cash flow projections for the next 3 years"</t>
  </si>
  <si>
    <t>Scenario analysis</t>
  </si>
  <si>
    <t>"Add a downside case assuming revenue drops 15%"</t>
  </si>
  <si>
    <t>"Create base, bull, and bear scenarios with different growth assumptions"</t>
  </si>
  <si>
    <t>"Build a sensitivity table showing IRR across exit multiples and hold periods"</t>
  </si>
  <si>
    <t>Data analysis</t>
  </si>
  <si>
    <t>Insights and trends</t>
  </si>
  <si>
    <t>"What trends stand out in 2025 vs 2024?"</t>
  </si>
  <si>
    <t>"Identify the top 10 customers by revenue and their growth rates"</t>
  </si>
  <si>
    <t>"Which product categories are underperforming vs budget?"</t>
  </si>
  <si>
    <t>"Compare actuals to budget and explain the largest variances"</t>
  </si>
  <si>
    <t>"Which accounts have unusual changes vs prior month?"</t>
  </si>
  <si>
    <t>"Reconcile these two sheets and highlight discrepancies"</t>
  </si>
  <si>
    <t>Categorization</t>
  </si>
  <si>
    <t>"Categorize these transactions into expense types"</t>
  </si>
  <si>
    <t>"Tag customer feedback by sentiment and topic"</t>
  </si>
  <si>
    <t>"Score each lead based on likelihood to convert"</t>
  </si>
  <si>
    <t>Data cleaning</t>
  </si>
  <si>
    <t>Standardize formats</t>
  </si>
  <si>
    <t>"Convert all dates to YYYY-MM-DD format"</t>
  </si>
  <si>
    <t>"Standardize phone numbers to +1 (XXX) XXX-XXXX"</t>
  </si>
  <si>
    <t>"Clean up company names (remove Inc, LLC, Ltd variations)"</t>
  </si>
  <si>
    <t>Fix data quality issues</t>
  </si>
  <si>
    <t>"Find and remove duplicate rows, keeping the most recent"</t>
  </si>
  <si>
    <t>"Identify and fix unicode/encoding errors"</t>
  </si>
  <si>
    <t>"Fill missing values based on patterns in the data"</t>
  </si>
  <si>
    <t>Parse and transform</t>
  </si>
  <si>
    <t>"Extract company name from email domain"</t>
  </si>
  <si>
    <t>"Split full address into street, city, state, zip columns"</t>
  </si>
  <si>
    <t>"Convert this pivot table into a flat data table"</t>
  </si>
  <si>
    <t>Formulas</t>
  </si>
  <si>
    <t>Troubleshooting</t>
  </si>
  <si>
    <t>"Find all #REF and #VALUE errors in this workbook"</t>
  </si>
  <si>
    <t>"Why is cell B4 showing an error? Trace the issue"</t>
  </si>
  <si>
    <t>"This SUMIF isn't returning the right result — what's wrong?"</t>
  </si>
  <si>
    <t>Explanation</t>
  </si>
  <si>
    <t>"Explain what this formula does in plain English"</t>
  </si>
  <si>
    <t>"Trace this cell back to its source inputs"</t>
  </si>
  <si>
    <t>"Document all the formulas on this sheet"</t>
  </si>
  <si>
    <t>Creation</t>
  </si>
  <si>
    <t>"Write a formula to calculate days of inventory from this data"</t>
  </si>
  <si>
    <t>"Create a VLOOKUP that pulls price from the rate table"</t>
  </si>
  <si>
    <t>"Build a formula that flags overdue invoices"</t>
  </si>
  <si>
    <t>Dashboards and reporting</t>
  </si>
  <si>
    <t>Dashboards</t>
  </si>
  <si>
    <t>"Create an executive dashboard summarizing all worksheets"</t>
  </si>
  <si>
    <t>"Build a KPI scorecard with revenue, margins, and growth metrics"</t>
  </si>
  <si>
    <t>"Make an interactive summary with key charts and metrics"</t>
  </si>
  <si>
    <t>Reports</t>
  </si>
  <si>
    <t>"Generate a monthly financial summary from the GL data"</t>
  </si>
  <si>
    <t>"Create a board-ready P&amp;L with variance commentary"</t>
  </si>
  <si>
    <t>"Consolidate regional sheets into a company-wide report"</t>
  </si>
  <si>
    <t>Charts</t>
  </si>
  <si>
    <t>"Create a waterfall chart showing revenue bridge"</t>
  </si>
  <si>
    <t>"Build a combo chart with revenue bars and margin line"</t>
  </si>
  <si>
    <t>"Make a cohort retention heatmap from this data"</t>
  </si>
  <si>
    <t>Formatting</t>
  </si>
  <si>
    <t>Professional styling</t>
  </si>
  <si>
    <t>"Add headers, borders, and proper number formats"</t>
  </si>
  <si>
    <t>"Apply consistent formatting across all sheets"</t>
  </si>
  <si>
    <t>Conditional formatting</t>
  </si>
  <si>
    <t>"Highlight negative values in red"</t>
  </si>
  <si>
    <t>"Color-code rows by status (green/yellow/red)"</t>
  </si>
  <si>
    <t>"Add data bars to show relative performance"</t>
  </si>
  <si>
    <t>Document import</t>
  </si>
  <si>
    <t>PDF extraction</t>
  </si>
  <si>
    <t>"Extract the financial table from this PDF into Excel"</t>
  </si>
  <si>
    <t>"Pull the line items from this invoice PDF into my template"</t>
  </si>
  <si>
    <t>"Convert this scanned statement into editable data"</t>
  </si>
  <si>
    <t>Template population</t>
  </si>
  <si>
    <t>"Fill in my deal template using data from this offering memo"</t>
  </si>
  <si>
    <t>"Populate the pitch template with these company metrics"</t>
  </si>
  <si>
    <t>"Map the imported CSV data to my standard format"</t>
  </si>
  <si>
    <t>Model review</t>
  </si>
  <si>
    <t>Audit and validation</t>
  </si>
  <si>
    <t>"Check that all formulas link correctly across sheets"</t>
  </si>
  <si>
    <t>"Verify the balance sheet balances in all periods"</t>
  </si>
  <si>
    <t>"Find any hardcoded values that should be formulas"</t>
  </si>
  <si>
    <t>Improvement</t>
  </si>
  <si>
    <t>"How can I simplify this model structure?"</t>
  </si>
  <si>
    <t>"What's missing from this valuation model?"</t>
  </si>
  <si>
    <t>"Suggest ways to make this more user-friendly"</t>
  </si>
  <si>
    <t>Frequently asked questions</t>
  </si>
  <si>
    <t>Which models are available when using Claude in Excel?</t>
  </si>
  <si>
    <t>You can switch between Sonnet 4.6 and Opus 4.6 when using Claude in Excel.</t>
  </si>
  <si>
    <t>Does Claude understand financial modeling conventions?</t>
  </si>
  <si>
    <t>Yes, Claude is trained to recognize common financial modeling patterns, formula structures, and industry-standard calculations. However, always verify that outputs match your specific methodologies.</t>
  </si>
  <si>
    <t>Can I use Claude in Excel with sensitive data?</t>
  </si>
  <si>
    <t>Claude in Excel works within your existing security framework. For highly sensitive or regulated data, ensure you follow your organization's data handling policies.</t>
  </si>
  <si>
    <t>What happens to my chat history?</t>
  </si>
  <si>
    <t>Currently, chat history is not saved between sessions. Each time you open the add-in, you start a fresh conversation with Claude. However, we are working to support this in future versions of Claude in Excel.</t>
  </si>
  <si>
    <t>How does Claude access my spreadsheet?</t>
  </si>
  <si>
    <t>Claude reads the content of your currently open workbook, including cells, formulas, and tab structure. It can only access the workbook you have open in Excel.</t>
  </si>
  <si>
    <t>What if Claude makes a mistake?</t>
  </si>
  <si>
    <t>Claude highlights all changes it makes to your workbook. Review these changes carefully before saving or sharing your file. You can always undo changes using Excel's standard undo function.</t>
  </si>
  <si>
    <t>Info Updated Saturday 28 February,2026</t>
  </si>
  <si>
    <t>https://youtu.be/KcHeRUyc0J8</t>
  </si>
  <si>
    <t>Free Video Guide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</si>
</sst>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;&quot;($&quot;#,##0\);\-"/>
    <numFmt numFmtId="167" formatCode="\$#,##0.0"/>
  </numFmts>
  <fonts count="24">
    <font>
      <sz val="11"/>
      <color theme="1"/>
      <name val="Calibri"/>
      <family val="2"/>
      <charset val="1"/>
    </font>
    <font>
      <b/>
      <sz val="12"/>
      <color rgb="FF1B2A4A"/>
      <name val="Arial"/>
      <family val="2"/>
    </font>
    <font>
      <sz val="10"/>
      <color rgb="FF333333"/>
      <name val="Arial"/>
      <family val="2"/>
    </font>
    <font>
      <b/>
      <sz val="12"/>
      <color rgb="FFFFFFFF"/>
      <name val="Arial"/>
      <family val="2"/>
    </font>
    <font>
      <b/>
      <sz val="10"/>
      <color rgb="FF1B2A4A"/>
      <name val="Arial"/>
      <family val="2"/>
    </font>
    <font>
      <i/>
      <sz val="10"/>
      <color rgb="FF555555"/>
      <name val="Arial"/>
      <family val="2"/>
    </font>
    <font>
      <b/>
      <sz val="16"/>
      <color rgb="FFFFFFFF"/>
      <name val="Arial"/>
      <family val="2"/>
    </font>
    <font>
      <b/>
      <sz val="13"/>
      <color rgb="FF1B2A4A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rgb="FF2A9D8F"/>
      <name val="Arial"/>
      <family val="2"/>
    </font>
    <font>
      <i/>
      <sz val="10"/>
      <color rgb="FF8B5CF6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20"/>
      <color rgb="FFF86632"/>
      <name val="Calibri"/>
      <family val="2"/>
    </font>
    <font>
      <sz val="10"/>
      <color rgb="FF1A1A1A"/>
      <name val="Segoe UI"/>
      <family val="2"/>
    </font>
    <font>
      <sz val="12"/>
      <color rgb="FF1A1A1A"/>
      <name val="Tiempos Text Regular"/>
    </font>
    <font>
      <sz val="11"/>
      <color rgb="FF1A1A1A"/>
      <name val="Segoe UI"/>
      <family val="2"/>
    </font>
    <font>
      <b/>
      <sz val="10"/>
      <color rgb="FF1A1A1A"/>
      <name val="Segoe UI"/>
      <family val="2"/>
    </font>
    <font>
      <b/>
      <u/>
      <sz val="11"/>
      <color theme="1"/>
      <name val="Calibri"/>
      <family val="2"/>
    </font>
    <font>
      <u/>
      <sz val="18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2A9D8F"/>
        <bgColor rgb="FF008080"/>
      </patternFill>
    </fill>
    <fill>
      <patternFill patternType="solid">
        <fgColor rgb="FFD6E4F0"/>
        <bgColor rgb="FFD9F0E3"/>
      </patternFill>
    </fill>
    <fill>
      <patternFill patternType="solid">
        <fgColor rgb="FFFFF3CD"/>
        <bgColor rgb="FFFFFFFF"/>
      </patternFill>
    </fill>
    <fill>
      <patternFill patternType="solid">
        <fgColor rgb="FFD9F0E3"/>
        <bgColor rgb="FFD6E4F0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E8722A"/>
      </bottom>
      <diagonal/>
    </border>
    <border>
      <left/>
      <right/>
      <top/>
      <bottom style="medium">
        <color rgb="FFE8722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3">
    <xf numFmtId="0" fontId="0" fillId="0" borderId="0" xfId="0"/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8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164" fontId="11" fillId="4" borderId="3" xfId="0" applyNumberFormat="1" applyFont="1" applyFill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0" fillId="5" borderId="3" xfId="0" applyFill="1" applyBorder="1"/>
    <xf numFmtId="166" fontId="9" fillId="0" borderId="3" xfId="0" applyNumberFormat="1" applyFont="1" applyBorder="1" applyAlignment="1">
      <alignment horizontal="center" vertical="center" wrapText="1"/>
    </xf>
    <xf numFmtId="165" fontId="9" fillId="0" borderId="3" xfId="0" applyNumberFormat="1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 wrapText="1"/>
    </xf>
    <xf numFmtId="166" fontId="11" fillId="4" borderId="3" xfId="0" applyNumberFormat="1" applyFont="1" applyFill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1" fillId="6" borderId="3" xfId="0" applyNumberFormat="1" applyFont="1" applyFill="1" applyBorder="1" applyAlignment="1">
      <alignment horizontal="center" vertical="center" wrapText="1"/>
    </xf>
    <xf numFmtId="166" fontId="11" fillId="6" borderId="3" xfId="0" applyNumberFormat="1" applyFont="1" applyFill="1" applyBorder="1" applyAlignment="1">
      <alignment horizontal="center" vertical="center" wrapText="1"/>
    </xf>
    <xf numFmtId="3" fontId="11" fillId="4" borderId="3" xfId="0" applyNumberFormat="1" applyFont="1" applyFill="1" applyBorder="1" applyAlignment="1">
      <alignment horizontal="center" vertical="center" wrapText="1"/>
    </xf>
    <xf numFmtId="167" fontId="10" fillId="0" borderId="3" xfId="0" applyNumberFormat="1" applyFont="1" applyBorder="1" applyAlignment="1">
      <alignment horizontal="center" vertical="center" wrapText="1"/>
    </xf>
    <xf numFmtId="0" fontId="15" fillId="0" borderId="0" xfId="0" applyFont="1"/>
    <xf numFmtId="0" fontId="17" fillId="0" borderId="0" xfId="0" applyFont="1"/>
    <xf numFmtId="0" fontId="14" fillId="0" borderId="0" xfId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4" fillId="0" borderId="0" xfId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/>
    <xf numFmtId="0" fontId="23" fillId="7" borderId="5" xfId="1" applyFont="1" applyFill="1" applyBorder="1"/>
    <xf numFmtId="0" fontId="16" fillId="7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B5CF6"/>
      <rgbColor rgb="FF993366"/>
      <rgbColor rgb="FFFFF3CD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22A"/>
      <rgbColor rgb="FF555555"/>
      <rgbColor rgb="FF969696"/>
      <rgbColor rgb="FF1B2A4A"/>
      <rgbColor rgb="FF2A9D8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66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326652</xdr:colOff>
      <xdr:row>6</xdr:row>
      <xdr:rowOff>52663</xdr:rowOff>
    </xdr:from>
    <xdr:to>
      <xdr:col>10</xdr:col>
      <xdr:colOff>22563</xdr:colOff>
      <xdr:row>12</xdr:row>
      <xdr:rowOff>98327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5A767-7162-62A2-C36F-512543E8F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3392" y="2285323"/>
          <a:ext cx="2667711" cy="2194503"/>
        </a:xfrm>
        <a:prstGeom prst="rect">
          <a:avLst/>
        </a:prstGeom>
      </xdr:spPr>
    </xdr:pic>
    <xdr:clientData/>
  </xdr:twoCellAnchor>
  <xdr:twoCellAnchor>
    <xdr:from>
      <xdr:col>4</xdr:col>
      <xdr:colOff>68580</xdr:colOff>
      <xdr:row>11</xdr:row>
      <xdr:rowOff>15240</xdr:rowOff>
    </xdr:from>
    <xdr:to>
      <xdr:col>5</xdr:col>
      <xdr:colOff>121920</xdr:colOff>
      <xdr:row>11</xdr:row>
      <xdr:rowOff>525780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CC9CA558-2A10-2201-5D9B-EADCFD298251}"/>
            </a:ext>
          </a:extLst>
        </xdr:cNvPr>
        <xdr:cNvSpPr/>
      </xdr:nvSpPr>
      <xdr:spPr>
        <a:xfrm>
          <a:off x="7680960" y="3825240"/>
          <a:ext cx="647700" cy="510540"/>
        </a:xfrm>
        <a:prstGeom prst="rightArrow">
          <a:avLst/>
        </a:prstGeom>
        <a:solidFill>
          <a:srgbClr val="F8663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 editAs="oneCell">
    <xdr:from>
      <xdr:col>5</xdr:col>
      <xdr:colOff>427420</xdr:colOff>
      <xdr:row>13</xdr:row>
      <xdr:rowOff>158301</xdr:rowOff>
    </xdr:from>
    <xdr:to>
      <xdr:col>10</xdr:col>
      <xdr:colOff>268427</xdr:colOff>
      <xdr:row>17</xdr:row>
      <xdr:rowOff>503057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0EF939-0C5A-2992-048A-B5785AB4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4160" y="4722681"/>
          <a:ext cx="2812807" cy="1739217"/>
        </a:xfrm>
        <a:prstGeom prst="rect">
          <a:avLst/>
        </a:prstGeom>
      </xdr:spPr>
    </xdr:pic>
    <xdr:clientData/>
  </xdr:twoCellAnchor>
  <xdr:twoCellAnchor>
    <xdr:from>
      <xdr:col>4</xdr:col>
      <xdr:colOff>137160</xdr:colOff>
      <xdr:row>14</xdr:row>
      <xdr:rowOff>304800</xdr:rowOff>
    </xdr:from>
    <xdr:to>
      <xdr:col>5</xdr:col>
      <xdr:colOff>190500</xdr:colOff>
      <xdr:row>16</xdr:row>
      <xdr:rowOff>60960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B9F7E92-79CD-4CA5-A5A1-74B3E9071386}"/>
            </a:ext>
          </a:extLst>
        </xdr:cNvPr>
        <xdr:cNvSpPr/>
      </xdr:nvSpPr>
      <xdr:spPr>
        <a:xfrm>
          <a:off x="7749540" y="5189220"/>
          <a:ext cx="647700" cy="510540"/>
        </a:xfrm>
        <a:prstGeom prst="rightArrow">
          <a:avLst/>
        </a:prstGeom>
        <a:solidFill>
          <a:srgbClr val="F8663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 editAs="oneCell">
    <xdr:from>
      <xdr:col>0</xdr:col>
      <xdr:colOff>102326</xdr:colOff>
      <xdr:row>0</xdr:row>
      <xdr:rowOff>0</xdr:rowOff>
    </xdr:from>
    <xdr:to>
      <xdr:col>1</xdr:col>
      <xdr:colOff>2794141</xdr:colOff>
      <xdr:row>2</xdr:row>
      <xdr:rowOff>1374335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525AEF-C58A-D12C-C80E-5AB8B3386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26" y="0"/>
          <a:ext cx="2897555" cy="2182055"/>
        </a:xfrm>
        <a:prstGeom prst="rect">
          <a:avLst/>
        </a:prstGeom>
      </xdr:spPr>
    </xdr:pic>
    <xdr:clientData/>
  </xdr:twoCellAnchor>
  <xdr:twoCellAnchor editAs="oneCell">
    <xdr:from>
      <xdr:col>1</xdr:col>
      <xdr:colOff>2941320</xdr:colOff>
      <xdr:row>1</xdr:row>
      <xdr:rowOff>266700</xdr:rowOff>
    </xdr:from>
    <xdr:to>
      <xdr:col>9</xdr:col>
      <xdr:colOff>522846</xdr:colOff>
      <xdr:row>2</xdr:row>
      <xdr:rowOff>1013460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D876B23-9059-52D5-616E-840BE0A75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7060" y="449580"/>
          <a:ext cx="7959966" cy="1371600"/>
        </a:xfrm>
        <a:prstGeom prst="rect">
          <a:avLst/>
        </a:prstGeom>
      </xdr:spPr>
    </xdr:pic>
    <xdr:clientData/>
  </xdr:twoCellAnchor>
  <xdr:twoCellAnchor editAs="oneCell">
    <xdr:from>
      <xdr:col>13</xdr:col>
      <xdr:colOff>251113</xdr:colOff>
      <xdr:row>1</xdr:row>
      <xdr:rowOff>244185</xdr:rowOff>
    </xdr:from>
    <xdr:to>
      <xdr:col>30</xdr:col>
      <xdr:colOff>133350</xdr:colOff>
      <xdr:row>17</xdr:row>
      <xdr:rowOff>1169732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4C9098-8F0F-C0F7-A80B-FAADEBB3F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95513" y="434685"/>
          <a:ext cx="9921587" cy="8012147"/>
        </a:xfrm>
        <a:prstGeom prst="rect">
          <a:avLst/>
        </a:prstGeom>
      </xdr:spPr>
    </xdr:pic>
    <xdr:clientData/>
  </xdr:twoCellAnchor>
  <xdr:twoCellAnchor editAs="oneCell">
    <xdr:from>
      <xdr:col>15</xdr:col>
      <xdr:colOff>460663</xdr:colOff>
      <xdr:row>2</xdr:row>
      <xdr:rowOff>968085</xdr:rowOff>
    </xdr:from>
    <xdr:to>
      <xdr:col>32</xdr:col>
      <xdr:colOff>495300</xdr:colOff>
      <xdr:row>19</xdr:row>
      <xdr:rowOff>137930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C43A2B-817C-515B-8E5E-7755D2B10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86163" y="1787235"/>
          <a:ext cx="10073987" cy="7437545"/>
        </a:xfrm>
        <a:prstGeom prst="rect">
          <a:avLst/>
        </a:prstGeom>
      </xdr:spPr>
    </xdr:pic>
    <xdr:clientData/>
  </xdr:twoCellAnchor>
  <xdr:twoCellAnchor editAs="oneCell">
    <xdr:from>
      <xdr:col>19</xdr:col>
      <xdr:colOff>441613</xdr:colOff>
      <xdr:row>6</xdr:row>
      <xdr:rowOff>34635</xdr:rowOff>
    </xdr:from>
    <xdr:to>
      <xdr:col>36</xdr:col>
      <xdr:colOff>460341</xdr:colOff>
      <xdr:row>23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470179-AEDD-1E8F-6D30-B151D5CBE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29313" y="3539835"/>
          <a:ext cx="10058078" cy="7223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441960</xdr:colOff>
      <xdr:row>6</xdr:row>
      <xdr:rowOff>68580</xdr:rowOff>
    </xdr:from>
    <xdr:to>
      <xdr:col>6</xdr:col>
      <xdr:colOff>594892</xdr:colOff>
      <xdr:row>18</xdr:row>
      <xdr:rowOff>169865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A8C481-DA35-9A57-B312-87CB353B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" y="1165860"/>
          <a:ext cx="3810532" cy="2295845"/>
        </a:xfrm>
        <a:prstGeom prst="rect">
          <a:avLst/>
        </a:prstGeom>
      </xdr:spPr>
    </xdr:pic>
    <xdr:clientData/>
  </xdr:twoCellAnchor>
  <xdr:twoCellAnchor editAs="oneCell">
    <xdr:from>
      <xdr:col>7</xdr:col>
      <xdr:colOff>183216</xdr:colOff>
      <xdr:row>4</xdr:row>
      <xdr:rowOff>43419</xdr:rowOff>
    </xdr:from>
    <xdr:to>
      <xdr:col>15</xdr:col>
      <xdr:colOff>275101</xdr:colOff>
      <xdr:row>15</xdr:row>
      <xdr:rowOff>96109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A29792-0D85-473E-15CE-AE84F4996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0416" y="774939"/>
          <a:ext cx="4968685" cy="2064370"/>
        </a:xfrm>
        <a:prstGeom prst="rect">
          <a:avLst/>
        </a:prstGeom>
      </xdr:spPr>
    </xdr:pic>
    <xdr:clientData/>
  </xdr:twoCellAnchor>
  <xdr:twoCellAnchor editAs="oneCell">
    <xdr:from>
      <xdr:col>15</xdr:col>
      <xdr:colOff>213953</xdr:colOff>
      <xdr:row>2</xdr:row>
      <xdr:rowOff>50482</xdr:rowOff>
    </xdr:from>
    <xdr:to>
      <xdr:col>22</xdr:col>
      <xdr:colOff>608928</xdr:colOff>
      <xdr:row>17</xdr:row>
      <xdr:rowOff>130398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129A3F-54E1-5CAC-CF48-9179F4495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57953" y="416242"/>
          <a:ext cx="4662175" cy="2823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179743</xdr:colOff>
      <xdr:row>54</xdr:row>
      <xdr:rowOff>204736</xdr:rowOff>
    </xdr:from>
    <xdr:to>
      <xdr:col>9</xdr:col>
      <xdr:colOff>853697</xdr:colOff>
      <xdr:row>78</xdr:row>
      <xdr:rowOff>16311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06989-5344-8768-F388-8FD07B1C7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8190" y="12136760"/>
          <a:ext cx="8347742" cy="42670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1043212</xdr:colOff>
      <xdr:row>61</xdr:row>
      <xdr:rowOff>16280</xdr:rowOff>
    </xdr:from>
    <xdr:to>
      <xdr:col>19</xdr:col>
      <xdr:colOff>470323</xdr:colOff>
      <xdr:row>97</xdr:row>
      <xdr:rowOff>91667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7C225B-2F22-D829-881E-4B48E915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1903" y="12097444"/>
          <a:ext cx="13586456" cy="6711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3EE508-B988-4222-A8DC-597ABF48B8DC}">
  <we:reference id="wa200009404" version="1.0.0.5" store="en-US" storeType="OMEX"/>
  <we:alternateReferences>
    <we:reference id="WA200009404" version="1.0.0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youtu.be/KcHeRUyc0J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n.microsoft.com/" TargetMode="External"/><Relationship Id="rId2" Type="http://schemas.openxmlformats.org/officeDocument/2006/relationships/hyperlink" Target="https://marketplace.microsoft.com/en-us/product/saas/wa200009404?tab=overview" TargetMode="External"/><Relationship Id="rId1" Type="http://schemas.openxmlformats.org/officeDocument/2006/relationships/hyperlink" Target="https://support.claude.com/en/articles/12650343-use-claude-in-excel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learn.microsoft.com/en-us/microsoft-365/admin/manage/manage-deployment-of-add-ins?view=o365-worldwide" TargetMode="External"/><Relationship Id="rId4" Type="http://schemas.openxmlformats.org/officeDocument/2006/relationships/hyperlink" Target="https://learn.microsoft.com/en-us/microsoft-365/admin/manage/manage-addins-in-the-admin-center?view=o365-worldwid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2:N34"/>
  <sheetViews>
    <sheetView showGridLines="0" zoomScale="40" zoomScaleNormal="40" workbookViewId="0">
      <selection activeCell="I5" sqref="I5"/>
    </sheetView>
  </sheetViews>
  <sheetFormatPr defaultColWidth="8.6640625" defaultRowHeight="14.4" outlineLevelCol="1"/>
  <cols>
    <col min="1" max="1" width="3" customWidth="1"/>
    <col min="2" max="2" width="55" customWidth="1"/>
    <col min="3" max="3" width="50" customWidth="1"/>
    <col min="4" max="4" width="3" customWidth="1"/>
    <col min="13" max="13" width="48.6640625" hidden="1" customWidth="1" outlineLevel="1"/>
    <col min="14" max="14" width="8.6640625" collapsed="1"/>
  </cols>
  <sheetData>
    <row r="2" spans="2:13" ht="49.5" customHeight="1"/>
    <row r="3" spans="2:13" ht="117" customHeight="1"/>
    <row r="4" spans="2:13" ht="23.4">
      <c r="M4" s="34" t="s">
        <v>355</v>
      </c>
    </row>
    <row r="5" spans="2:13" ht="25.5" customHeight="1">
      <c r="B5" s="35" t="s">
        <v>0</v>
      </c>
      <c r="C5" s="35"/>
      <c r="M5" s="33" t="s">
        <v>354</v>
      </c>
    </row>
    <row r="6" spans="2:13" ht="45" customHeight="1">
      <c r="B6" s="36" t="s">
        <v>1</v>
      </c>
      <c r="C6" s="36"/>
    </row>
    <row r="8" spans="2:13" ht="25.5" customHeight="1">
      <c r="B8" s="35" t="s">
        <v>2</v>
      </c>
      <c r="C8" s="35"/>
    </row>
    <row r="9" spans="2:13" ht="45" customHeight="1">
      <c r="B9" s="36" t="s">
        <v>3</v>
      </c>
      <c r="C9" s="36"/>
    </row>
    <row r="11" spans="2:13" ht="25.5" customHeight="1">
      <c r="B11" s="35" t="s">
        <v>4</v>
      </c>
      <c r="C11" s="35"/>
    </row>
    <row r="12" spans="2:13" ht="45" customHeight="1">
      <c r="B12" s="36" t="s">
        <v>204</v>
      </c>
      <c r="C12" s="36"/>
    </row>
    <row r="14" spans="2:13" ht="25.5" customHeight="1">
      <c r="B14" s="35" t="s">
        <v>5</v>
      </c>
      <c r="C14" s="35"/>
    </row>
    <row r="15" spans="2:13" ht="45" customHeight="1">
      <c r="B15" s="36" t="s">
        <v>6</v>
      </c>
      <c r="C15" s="36"/>
    </row>
    <row r="17" spans="2:3" ht="25.5" customHeight="1">
      <c r="B17" s="35" t="s">
        <v>7</v>
      </c>
      <c r="C17" s="35"/>
    </row>
    <row r="18" spans="2:3" ht="127.5" customHeight="1">
      <c r="B18" s="36" t="s">
        <v>8</v>
      </c>
      <c r="C18" s="36"/>
    </row>
    <row r="20" spans="2:3" ht="25.5" customHeight="1">
      <c r="B20" s="35" t="s">
        <v>9</v>
      </c>
      <c r="C20" s="35"/>
    </row>
    <row r="21" spans="2:3" ht="63.75" customHeight="1">
      <c r="B21" s="36" t="s">
        <v>10</v>
      </c>
      <c r="C21" s="36"/>
    </row>
    <row r="23" spans="2:3" ht="25.5" customHeight="1">
      <c r="B23" s="35" t="s">
        <v>11</v>
      </c>
      <c r="C23" s="35"/>
    </row>
    <row r="24" spans="2:3" ht="111.75" customHeight="1">
      <c r="B24" s="36" t="s">
        <v>12</v>
      </c>
      <c r="C24" s="36"/>
    </row>
    <row r="27" spans="2:3" ht="30" customHeight="1">
      <c r="B27" s="37" t="s">
        <v>13</v>
      </c>
      <c r="C27" s="37"/>
    </row>
    <row r="28" spans="2:3" ht="21.75" customHeight="1">
      <c r="B28" s="2" t="s">
        <v>14</v>
      </c>
      <c r="C28" s="1" t="s">
        <v>15</v>
      </c>
    </row>
    <row r="29" spans="2:3" ht="21.75" customHeight="1">
      <c r="B29" s="2" t="s">
        <v>16</v>
      </c>
      <c r="C29" s="1" t="s">
        <v>17</v>
      </c>
    </row>
    <row r="30" spans="2:3" ht="21.75" customHeight="1">
      <c r="B30" s="2" t="s">
        <v>18</v>
      </c>
      <c r="C30" s="1" t="s">
        <v>19</v>
      </c>
    </row>
    <row r="31" spans="2:3" ht="21.75" customHeight="1">
      <c r="B31" s="2" t="s">
        <v>20</v>
      </c>
      <c r="C31" s="1" t="s">
        <v>21</v>
      </c>
    </row>
    <row r="32" spans="2:3" ht="21.75" customHeight="1">
      <c r="B32" s="2" t="s">
        <v>22</v>
      </c>
      <c r="C32" s="1" t="s">
        <v>23</v>
      </c>
    </row>
    <row r="33" spans="2:3" ht="21.75" customHeight="1">
      <c r="B33" s="2" t="s">
        <v>24</v>
      </c>
      <c r="C33" s="1" t="s">
        <v>25</v>
      </c>
    </row>
    <row r="34" spans="2:3" ht="21.75" customHeight="1">
      <c r="B34" s="2" t="s">
        <v>26</v>
      </c>
      <c r="C34" s="1" t="s">
        <v>27</v>
      </c>
    </row>
  </sheetData>
  <mergeCells count="15">
    <mergeCell ref="B12:C12"/>
    <mergeCell ref="B14:C14"/>
    <mergeCell ref="B15:C15"/>
    <mergeCell ref="B24:C24"/>
    <mergeCell ref="B27:C27"/>
    <mergeCell ref="B17:C17"/>
    <mergeCell ref="B18:C18"/>
    <mergeCell ref="B20:C20"/>
    <mergeCell ref="B21:C21"/>
    <mergeCell ref="B23:C23"/>
    <mergeCell ref="B5:C5"/>
    <mergeCell ref="B6:C6"/>
    <mergeCell ref="B8:C8"/>
    <mergeCell ref="B9:C9"/>
    <mergeCell ref="B11:C11"/>
  </mergeCells>
  <hyperlinks>
    <hyperlink ref="M5" r:id="rId1" xr:uid="{FE8AD5B9-6B23-464F-AEB4-9542423CA4BD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2115-096D-4797-8090-F6B67AA1C0A7}">
  <dimension ref="B2:B179"/>
  <sheetViews>
    <sheetView showGridLines="0" tabSelected="1" workbookViewId="0">
      <selection activeCell="J20" sqref="J20"/>
    </sheetView>
  </sheetViews>
  <sheetFormatPr defaultRowHeight="14.4"/>
  <sheetData>
    <row r="2" spans="2:2">
      <c r="B2" s="24" t="s">
        <v>206</v>
      </c>
    </row>
    <row r="3" spans="2:2">
      <c r="B3" s="26" t="s">
        <v>207</v>
      </c>
    </row>
    <row r="5" spans="2:2">
      <c r="B5" s="32" t="s">
        <v>353</v>
      </c>
    </row>
    <row r="23" spans="2:2" ht="15">
      <c r="B23" s="27" t="s">
        <v>208</v>
      </c>
    </row>
    <row r="24" spans="2:2" ht="16.8">
      <c r="B24" s="28" t="s">
        <v>209</v>
      </c>
    </row>
    <row r="25" spans="2:2">
      <c r="B25" s="30" t="s">
        <v>210</v>
      </c>
    </row>
    <row r="26" spans="2:2" ht="15">
      <c r="B26" s="29" t="s">
        <v>211</v>
      </c>
    </row>
    <row r="27" spans="2:2" ht="15">
      <c r="B27" s="29" t="s">
        <v>212</v>
      </c>
    </row>
    <row r="28" spans="2:2" ht="16.8">
      <c r="B28" s="28" t="s">
        <v>213</v>
      </c>
    </row>
    <row r="29" spans="2:2" ht="15">
      <c r="B29" s="31" t="s">
        <v>214</v>
      </c>
    </row>
    <row r="30" spans="2:2">
      <c r="B30" s="30" t="s">
        <v>215</v>
      </c>
    </row>
    <row r="31" spans="2:2">
      <c r="B31" s="30" t="s">
        <v>216</v>
      </c>
    </row>
    <row r="32" spans="2:2" ht="15">
      <c r="B32" s="29" t="s">
        <v>217</v>
      </c>
    </row>
    <row r="33" spans="2:2" ht="15">
      <c r="B33" s="29" t="s">
        <v>218</v>
      </c>
    </row>
    <row r="34" spans="2:2" ht="15">
      <c r="B34" s="29" t="s">
        <v>219</v>
      </c>
    </row>
    <row r="35" spans="2:2">
      <c r="B35" s="30" t="s">
        <v>220</v>
      </c>
    </row>
    <row r="36" spans="2:2" ht="15">
      <c r="B36" s="29" t="s">
        <v>221</v>
      </c>
    </row>
    <row r="39" spans="2:2" ht="15">
      <c r="B39" s="27" t="s">
        <v>222</v>
      </c>
    </row>
    <row r="40" spans="2:2" ht="16.8">
      <c r="B40" s="28" t="s">
        <v>223</v>
      </c>
    </row>
    <row r="41" spans="2:2" ht="15">
      <c r="B41" s="29" t="s">
        <v>224</v>
      </c>
    </row>
    <row r="42" spans="2:2" ht="15">
      <c r="B42" s="31" t="s">
        <v>225</v>
      </c>
    </row>
    <row r="43" spans="2:2" ht="15">
      <c r="B43" s="29" t="s">
        <v>226</v>
      </c>
    </row>
    <row r="44" spans="2:2" ht="15">
      <c r="B44" s="29" t="s">
        <v>227</v>
      </c>
    </row>
    <row r="45" spans="2:2" ht="16.8">
      <c r="B45" s="28" t="s">
        <v>228</v>
      </c>
    </row>
    <row r="46" spans="2:2" ht="15">
      <c r="B46" s="29" t="s">
        <v>229</v>
      </c>
    </row>
    <row r="47" spans="2:2" ht="15">
      <c r="B47" s="31" t="s">
        <v>225</v>
      </c>
    </row>
    <row r="48" spans="2:2" ht="15">
      <c r="B48" s="29" t="s">
        <v>230</v>
      </c>
    </row>
    <row r="49" spans="2:2" ht="15">
      <c r="B49" s="29" t="s">
        <v>231</v>
      </c>
    </row>
    <row r="50" spans="2:2" ht="16.8">
      <c r="B50" s="28" t="s">
        <v>232</v>
      </c>
    </row>
    <row r="51" spans="2:2" ht="15">
      <c r="B51" s="29" t="s">
        <v>233</v>
      </c>
    </row>
    <row r="52" spans="2:2" ht="15">
      <c r="B52" s="31" t="s">
        <v>225</v>
      </c>
    </row>
    <row r="53" spans="2:2" ht="15">
      <c r="B53" s="29" t="s">
        <v>234</v>
      </c>
    </row>
    <row r="54" spans="2:2" ht="15">
      <c r="B54" s="29" t="s">
        <v>235</v>
      </c>
    </row>
    <row r="55" spans="2:2" ht="16.8">
      <c r="B55" s="28" t="s">
        <v>236</v>
      </c>
    </row>
    <row r="56" spans="2:2" ht="15">
      <c r="B56" s="29" t="s">
        <v>237</v>
      </c>
    </row>
    <row r="57" spans="2:2" ht="15">
      <c r="B57" s="31" t="s">
        <v>225</v>
      </c>
    </row>
    <row r="58" spans="2:2" ht="15">
      <c r="B58" s="29" t="s">
        <v>238</v>
      </c>
    </row>
    <row r="59" spans="2:2" ht="15">
      <c r="B59" s="29" t="s">
        <v>239</v>
      </c>
    </row>
    <row r="60" spans="2:2" ht="16.8">
      <c r="B60" s="28" t="s">
        <v>240</v>
      </c>
    </row>
    <row r="61" spans="2:2" ht="15">
      <c r="B61" s="29" t="s">
        <v>241</v>
      </c>
    </row>
    <row r="62" spans="2:2" ht="16.8">
      <c r="B62" s="28" t="s">
        <v>242</v>
      </c>
    </row>
    <row r="63" spans="2:2" ht="15">
      <c r="B63" s="29" t="s">
        <v>243</v>
      </c>
    </row>
    <row r="64" spans="2:2" ht="15">
      <c r="B64" s="31" t="s">
        <v>225</v>
      </c>
    </row>
    <row r="65" spans="2:2" ht="15">
      <c r="B65" s="29" t="s">
        <v>244</v>
      </c>
    </row>
    <row r="66" spans="2:2" ht="15">
      <c r="B66" s="29" t="s">
        <v>245</v>
      </c>
    </row>
    <row r="67" spans="2:2" ht="15">
      <c r="B67" s="29" t="s">
        <v>246</v>
      </c>
    </row>
    <row r="68" spans="2:2" ht="15">
      <c r="B68" s="29" t="s">
        <v>247</v>
      </c>
    </row>
    <row r="72" spans="2:2" ht="15">
      <c r="B72" s="27" t="s">
        <v>248</v>
      </c>
    </row>
    <row r="73" spans="2:2" ht="16.8">
      <c r="B73" s="28" t="s">
        <v>249</v>
      </c>
    </row>
    <row r="74" spans="2:2" ht="15">
      <c r="B74" s="31" t="s">
        <v>250</v>
      </c>
    </row>
    <row r="75" spans="2:2" ht="15">
      <c r="B75" s="29" t="s">
        <v>251</v>
      </c>
    </row>
    <row r="76" spans="2:2" ht="15">
      <c r="B76" s="29" t="s">
        <v>252</v>
      </c>
    </row>
    <row r="77" spans="2:2" ht="15">
      <c r="B77" s="29" t="s">
        <v>253</v>
      </c>
    </row>
    <row r="78" spans="2:2" ht="15">
      <c r="B78" s="29" t="s">
        <v>254</v>
      </c>
    </row>
    <row r="79" spans="2:2" ht="15">
      <c r="B79" s="31" t="s">
        <v>255</v>
      </c>
    </row>
    <row r="80" spans="2:2" ht="15">
      <c r="B80" s="29" t="s">
        <v>256</v>
      </c>
    </row>
    <row r="81" spans="2:2" ht="15">
      <c r="B81" s="29" t="s">
        <v>257</v>
      </c>
    </row>
    <row r="82" spans="2:2" ht="15">
      <c r="B82" s="29" t="s">
        <v>258</v>
      </c>
    </row>
    <row r="83" spans="2:2" ht="15">
      <c r="B83" s="31" t="s">
        <v>259</v>
      </c>
    </row>
    <row r="84" spans="2:2" ht="15">
      <c r="B84" s="29" t="s">
        <v>260</v>
      </c>
    </row>
    <row r="85" spans="2:2" ht="15">
      <c r="B85" s="29" t="s">
        <v>261</v>
      </c>
    </row>
    <row r="86" spans="2:2" ht="15">
      <c r="B86" s="29" t="s">
        <v>262</v>
      </c>
    </row>
    <row r="87" spans="2:2" ht="16.8">
      <c r="B87" s="28" t="s">
        <v>263</v>
      </c>
    </row>
    <row r="88" spans="2:2" ht="15">
      <c r="B88" s="31" t="s">
        <v>264</v>
      </c>
    </row>
    <row r="89" spans="2:2" ht="15">
      <c r="B89" s="29" t="s">
        <v>265</v>
      </c>
    </row>
    <row r="90" spans="2:2" ht="15">
      <c r="B90" s="29" t="s">
        <v>266</v>
      </c>
    </row>
    <row r="91" spans="2:2" ht="15">
      <c r="B91" s="29" t="s">
        <v>267</v>
      </c>
    </row>
    <row r="92" spans="2:2" ht="15">
      <c r="B92" s="31" t="s">
        <v>22</v>
      </c>
    </row>
    <row r="93" spans="2:2" ht="15">
      <c r="B93" s="29" t="s">
        <v>268</v>
      </c>
    </row>
    <row r="94" spans="2:2" ht="15">
      <c r="B94" s="29" t="s">
        <v>269</v>
      </c>
    </row>
    <row r="95" spans="2:2" ht="15">
      <c r="B95" s="29" t="s">
        <v>270</v>
      </c>
    </row>
    <row r="96" spans="2:2" ht="15">
      <c r="B96" s="31" t="s">
        <v>271</v>
      </c>
    </row>
    <row r="97" spans="2:2" ht="15">
      <c r="B97" s="29" t="s">
        <v>272</v>
      </c>
    </row>
    <row r="98" spans="2:2" ht="15">
      <c r="B98" s="29" t="s">
        <v>273</v>
      </c>
    </row>
    <row r="99" spans="2:2" ht="15">
      <c r="B99" s="29" t="s">
        <v>274</v>
      </c>
    </row>
    <row r="100" spans="2:2" ht="16.8">
      <c r="B100" s="28" t="s">
        <v>275</v>
      </c>
    </row>
    <row r="101" spans="2:2" ht="15">
      <c r="B101" s="31" t="s">
        <v>276</v>
      </c>
    </row>
    <row r="102" spans="2:2" ht="15">
      <c r="B102" s="29" t="s">
        <v>277</v>
      </c>
    </row>
    <row r="103" spans="2:2" ht="15">
      <c r="B103" s="29" t="s">
        <v>278</v>
      </c>
    </row>
    <row r="104" spans="2:2" ht="15">
      <c r="B104" s="29" t="s">
        <v>279</v>
      </c>
    </row>
    <row r="105" spans="2:2" ht="15">
      <c r="B105" s="31" t="s">
        <v>280</v>
      </c>
    </row>
    <row r="106" spans="2:2" ht="15">
      <c r="B106" s="29" t="s">
        <v>281</v>
      </c>
    </row>
    <row r="107" spans="2:2" ht="15">
      <c r="B107" s="29" t="s">
        <v>282</v>
      </c>
    </row>
    <row r="108" spans="2:2" ht="15">
      <c r="B108" s="29" t="s">
        <v>283</v>
      </c>
    </row>
    <row r="109" spans="2:2" ht="15">
      <c r="B109" s="31" t="s">
        <v>284</v>
      </c>
    </row>
    <row r="110" spans="2:2" ht="15">
      <c r="B110" s="29" t="s">
        <v>285</v>
      </c>
    </row>
    <row r="111" spans="2:2" ht="15">
      <c r="B111" s="29" t="s">
        <v>286</v>
      </c>
    </row>
    <row r="112" spans="2:2" ht="15">
      <c r="B112" s="29" t="s">
        <v>287</v>
      </c>
    </row>
    <row r="113" spans="2:2" ht="16.8">
      <c r="B113" s="28" t="s">
        <v>288</v>
      </c>
    </row>
    <row r="114" spans="2:2" ht="15">
      <c r="B114" s="31" t="s">
        <v>289</v>
      </c>
    </row>
    <row r="115" spans="2:2" ht="15">
      <c r="B115" s="29" t="s">
        <v>290</v>
      </c>
    </row>
    <row r="116" spans="2:2" ht="15">
      <c r="B116" s="29" t="s">
        <v>291</v>
      </c>
    </row>
    <row r="117" spans="2:2" ht="15">
      <c r="B117" s="29" t="s">
        <v>292</v>
      </c>
    </row>
    <row r="118" spans="2:2" ht="15">
      <c r="B118" s="31" t="s">
        <v>293</v>
      </c>
    </row>
    <row r="119" spans="2:2" ht="15">
      <c r="B119" s="29" t="s">
        <v>294</v>
      </c>
    </row>
    <row r="120" spans="2:2" ht="15">
      <c r="B120" s="29" t="s">
        <v>295</v>
      </c>
    </row>
    <row r="121" spans="2:2" ht="15">
      <c r="B121" s="29" t="s">
        <v>296</v>
      </c>
    </row>
    <row r="122" spans="2:2" ht="15">
      <c r="B122" s="31" t="s">
        <v>297</v>
      </c>
    </row>
    <row r="123" spans="2:2" ht="15">
      <c r="B123" s="29" t="s">
        <v>298</v>
      </c>
    </row>
    <row r="124" spans="2:2" ht="15">
      <c r="B124" s="29" t="s">
        <v>299</v>
      </c>
    </row>
    <row r="125" spans="2:2" ht="15">
      <c r="B125" s="29" t="s">
        <v>300</v>
      </c>
    </row>
    <row r="126" spans="2:2" ht="16.8">
      <c r="B126" s="28" t="s">
        <v>301</v>
      </c>
    </row>
    <row r="127" spans="2:2" ht="15">
      <c r="B127" s="31" t="s">
        <v>302</v>
      </c>
    </row>
    <row r="128" spans="2:2" ht="15">
      <c r="B128" s="29" t="s">
        <v>303</v>
      </c>
    </row>
    <row r="129" spans="2:2" ht="15">
      <c r="B129" s="29" t="s">
        <v>304</v>
      </c>
    </row>
    <row r="130" spans="2:2" ht="15">
      <c r="B130" s="29" t="s">
        <v>305</v>
      </c>
    </row>
    <row r="131" spans="2:2" ht="15">
      <c r="B131" s="31" t="s">
        <v>306</v>
      </c>
    </row>
    <row r="132" spans="2:2" ht="15">
      <c r="B132" s="29" t="s">
        <v>307</v>
      </c>
    </row>
    <row r="133" spans="2:2" ht="15">
      <c r="B133" s="29" t="s">
        <v>308</v>
      </c>
    </row>
    <row r="134" spans="2:2" ht="15">
      <c r="B134" s="29" t="s">
        <v>309</v>
      </c>
    </row>
    <row r="135" spans="2:2" ht="15">
      <c r="B135" s="31" t="s">
        <v>310</v>
      </c>
    </row>
    <row r="136" spans="2:2" ht="15">
      <c r="B136" s="29" t="s">
        <v>311</v>
      </c>
    </row>
    <row r="137" spans="2:2" ht="15">
      <c r="B137" s="29" t="s">
        <v>312</v>
      </c>
    </row>
    <row r="138" spans="2:2" ht="15">
      <c r="B138" s="29" t="s">
        <v>313</v>
      </c>
    </row>
    <row r="139" spans="2:2" ht="16.8">
      <c r="B139" s="28" t="s">
        <v>314</v>
      </c>
    </row>
    <row r="140" spans="2:2" ht="15">
      <c r="B140" s="31" t="s">
        <v>315</v>
      </c>
    </row>
    <row r="141" spans="2:2" ht="15">
      <c r="B141" s="29" t="s">
        <v>27</v>
      </c>
    </row>
    <row r="142" spans="2:2" ht="15">
      <c r="B142" s="29" t="s">
        <v>316</v>
      </c>
    </row>
    <row r="143" spans="2:2" ht="15">
      <c r="B143" s="29" t="s">
        <v>317</v>
      </c>
    </row>
    <row r="144" spans="2:2" ht="15">
      <c r="B144" s="31" t="s">
        <v>318</v>
      </c>
    </row>
    <row r="145" spans="2:2" ht="15">
      <c r="B145" s="29" t="s">
        <v>319</v>
      </c>
    </row>
    <row r="146" spans="2:2" ht="15">
      <c r="B146" s="29" t="s">
        <v>320</v>
      </c>
    </row>
    <row r="147" spans="2:2" ht="15">
      <c r="B147" s="29" t="s">
        <v>321</v>
      </c>
    </row>
    <row r="148" spans="2:2" ht="16.8">
      <c r="B148" s="28" t="s">
        <v>322</v>
      </c>
    </row>
    <row r="149" spans="2:2" ht="15">
      <c r="B149" s="31" t="s">
        <v>323</v>
      </c>
    </row>
    <row r="150" spans="2:2" ht="15">
      <c r="B150" s="29" t="s">
        <v>324</v>
      </c>
    </row>
    <row r="151" spans="2:2" ht="15">
      <c r="B151" s="29" t="s">
        <v>325</v>
      </c>
    </row>
    <row r="152" spans="2:2" ht="15">
      <c r="B152" s="29" t="s">
        <v>326</v>
      </c>
    </row>
    <row r="153" spans="2:2" ht="15">
      <c r="B153" s="31" t="s">
        <v>327</v>
      </c>
    </row>
    <row r="154" spans="2:2" ht="15">
      <c r="B154" s="29" t="s">
        <v>328</v>
      </c>
    </row>
    <row r="155" spans="2:2" ht="15">
      <c r="B155" s="29" t="s">
        <v>329</v>
      </c>
    </row>
    <row r="156" spans="2:2" ht="15">
      <c r="B156" s="29" t="s">
        <v>330</v>
      </c>
    </row>
    <row r="157" spans="2:2" ht="16.8">
      <c r="B157" s="28" t="s">
        <v>331</v>
      </c>
    </row>
    <row r="158" spans="2:2" ht="15">
      <c r="B158" s="31" t="s">
        <v>332</v>
      </c>
    </row>
    <row r="159" spans="2:2" ht="15">
      <c r="B159" s="29" t="s">
        <v>333</v>
      </c>
    </row>
    <row r="160" spans="2:2" ht="15">
      <c r="B160" s="29" t="s">
        <v>334</v>
      </c>
    </row>
    <row r="161" spans="2:2" ht="15">
      <c r="B161" s="29" t="s">
        <v>335</v>
      </c>
    </row>
    <row r="162" spans="2:2" ht="15">
      <c r="B162" s="31" t="s">
        <v>336</v>
      </c>
    </row>
    <row r="163" spans="2:2" ht="15">
      <c r="B163" s="29" t="s">
        <v>337</v>
      </c>
    </row>
    <row r="164" spans="2:2" ht="15">
      <c r="B164" s="29" t="s">
        <v>338</v>
      </c>
    </row>
    <row r="165" spans="2:2" ht="15">
      <c r="B165" s="29" t="s">
        <v>339</v>
      </c>
    </row>
    <row r="167" spans="2:2" ht="15">
      <c r="B167" s="27" t="s">
        <v>340</v>
      </c>
    </row>
    <row r="168" spans="2:2" ht="16.8">
      <c r="B168" s="28" t="s">
        <v>341</v>
      </c>
    </row>
    <row r="169" spans="2:2" ht="15">
      <c r="B169" s="29" t="s">
        <v>342</v>
      </c>
    </row>
    <row r="170" spans="2:2" ht="16.8">
      <c r="B170" s="28" t="s">
        <v>343</v>
      </c>
    </row>
    <row r="171" spans="2:2" ht="15">
      <c r="B171" s="29" t="s">
        <v>344</v>
      </c>
    </row>
    <row r="172" spans="2:2" ht="16.8">
      <c r="B172" s="28" t="s">
        <v>345</v>
      </c>
    </row>
    <row r="173" spans="2:2" ht="15">
      <c r="B173" s="29" t="s">
        <v>346</v>
      </c>
    </row>
    <row r="174" spans="2:2" ht="16.8">
      <c r="B174" s="28" t="s">
        <v>347</v>
      </c>
    </row>
    <row r="175" spans="2:2" ht="15">
      <c r="B175" s="29" t="s">
        <v>348</v>
      </c>
    </row>
    <row r="176" spans="2:2" ht="16.8">
      <c r="B176" s="28" t="s">
        <v>349</v>
      </c>
    </row>
    <row r="177" spans="2:2" ht="15">
      <c r="B177" s="29" t="s">
        <v>350</v>
      </c>
    </row>
    <row r="178" spans="2:2" ht="16.8">
      <c r="B178" s="28" t="s">
        <v>351</v>
      </c>
    </row>
    <row r="179" spans="2:2" ht="15">
      <c r="B179" s="29" t="s">
        <v>352</v>
      </c>
    </row>
  </sheetData>
  <hyperlinks>
    <hyperlink ref="B3" r:id="rId1" display="https://support.claude.com/en/articles/12650343-use-claude-in-excel" xr:uid="{7145035A-CEB4-4B33-A26B-C383A9BE8DE5}"/>
    <hyperlink ref="B25" r:id="rId2" display="https://marketplace.microsoft.com/en-us/product/saas/wa200009404?tab=overview" xr:uid="{45A685B6-5D21-4983-893B-B633869D4DC5}"/>
    <hyperlink ref="B30" r:id="rId3" display="https://admin.microsoft.com/" xr:uid="{50BD0BED-ED37-4DC8-983B-20976B9246EB}"/>
    <hyperlink ref="B31" r:id="rId4" location="manage-add-in-downloads-by-turning-onoff-microsoft-marketplace-across-all-apps-except-outlook" display="https://learn.microsoft.com/en-us/microsoft-365/admin/manage/manage-addins-in-the-admin-center?view=o365-worldwide - manage-add-in-downloads-by-turning-onoff-microsoft-marketplace-across-all-apps-except-outlook" xr:uid="{52993ED5-4C4B-4762-A386-E57482CF55B8}"/>
    <hyperlink ref="B35" r:id="rId5" display="https://learn.microsoft.com/en-us/microsoft-365/admin/manage/manage-deployment-of-add-ins?view=o365-worldwide" xr:uid="{D9F25491-C697-4BB8-8129-2F1A320616DB}"/>
  </hyperlink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722A"/>
  </sheetPr>
  <dimension ref="A1:P55"/>
  <sheetViews>
    <sheetView showGridLines="0" topLeftCell="A60" zoomScale="85" zoomScaleNormal="85" workbookViewId="0">
      <selection activeCell="L71" sqref="L71"/>
    </sheetView>
  </sheetViews>
  <sheetFormatPr defaultColWidth="8.6640625" defaultRowHeight="14.4"/>
  <cols>
    <col min="1" max="1" width="28" customWidth="1"/>
    <col min="2" max="16" width="14" customWidth="1"/>
  </cols>
  <sheetData>
    <row r="1" spans="1:16" ht="36" customHeight="1">
      <c r="A1" s="38" t="s">
        <v>28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30" customHeight="1">
      <c r="A2" s="39" t="s">
        <v>29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4" spans="1:16" ht="16.8">
      <c r="A4" s="40" t="s">
        <v>30</v>
      </c>
      <c r="B4" s="40"/>
      <c r="C4" s="40"/>
      <c r="D4" s="40"/>
      <c r="E4" s="40"/>
    </row>
    <row r="5" spans="1:16">
      <c r="A5" s="3" t="s">
        <v>31</v>
      </c>
      <c r="B5" s="3" t="s">
        <v>32</v>
      </c>
      <c r="C5" s="3" t="s">
        <v>33</v>
      </c>
      <c r="D5" s="3" t="s">
        <v>34</v>
      </c>
      <c r="E5" s="3"/>
    </row>
    <row r="6" spans="1:16" ht="52.8">
      <c r="A6" s="4" t="s">
        <v>35</v>
      </c>
      <c r="B6" s="5">
        <v>850000</v>
      </c>
      <c r="C6" s="6" t="s">
        <v>36</v>
      </c>
      <c r="D6" s="6" t="s">
        <v>37</v>
      </c>
    </row>
    <row r="7" spans="1:16" ht="26.4">
      <c r="A7" s="4" t="s">
        <v>38</v>
      </c>
      <c r="B7" s="7">
        <v>3.5000000000000003E-2</v>
      </c>
      <c r="C7" s="6" t="s">
        <v>39</v>
      </c>
      <c r="D7" s="6" t="s">
        <v>40</v>
      </c>
    </row>
    <row r="8" spans="1:16" ht="26.4">
      <c r="A8" s="4" t="s">
        <v>41</v>
      </c>
      <c r="B8" s="7">
        <v>0.05</v>
      </c>
      <c r="C8" s="6" t="s">
        <v>39</v>
      </c>
      <c r="D8" s="6" t="s">
        <v>42</v>
      </c>
    </row>
    <row r="9" spans="1:16" ht="26.4">
      <c r="A9" s="4" t="s">
        <v>43</v>
      </c>
      <c r="B9" s="5">
        <v>4500</v>
      </c>
      <c r="C9" s="6" t="s">
        <v>36</v>
      </c>
      <c r="D9" s="6" t="s">
        <v>44</v>
      </c>
    </row>
    <row r="10" spans="1:16">
      <c r="A10" s="4" t="s">
        <v>45</v>
      </c>
      <c r="B10" s="8">
        <v>18</v>
      </c>
      <c r="C10" s="6" t="s">
        <v>46</v>
      </c>
      <c r="D10" s="6" t="s">
        <v>47</v>
      </c>
    </row>
    <row r="11" spans="1:16">
      <c r="A11" s="4" t="s">
        <v>48</v>
      </c>
      <c r="B11" s="7">
        <v>1.2E-2</v>
      </c>
      <c r="C11" s="6" t="s">
        <v>39</v>
      </c>
      <c r="D11" s="6" t="s">
        <v>49</v>
      </c>
    </row>
    <row r="12" spans="1:16" ht="39.6">
      <c r="A12" s="4" t="s">
        <v>50</v>
      </c>
      <c r="B12" s="7">
        <v>0.05</v>
      </c>
      <c r="C12" s="6" t="s">
        <v>39</v>
      </c>
      <c r="D12" s="6" t="s">
        <v>51</v>
      </c>
    </row>
    <row r="13" spans="1:16" ht="26.4">
      <c r="A13" s="4" t="s">
        <v>52</v>
      </c>
      <c r="B13" s="5">
        <v>45000</v>
      </c>
      <c r="C13" s="6" t="s">
        <v>36</v>
      </c>
      <c r="D13" s="6" t="s">
        <v>53</v>
      </c>
    </row>
    <row r="14" spans="1:16" ht="26.4">
      <c r="A14" s="4" t="s">
        <v>54</v>
      </c>
      <c r="B14" s="7">
        <v>0.02</v>
      </c>
      <c r="C14" s="6" t="s">
        <v>39</v>
      </c>
      <c r="D14" s="6" t="s">
        <v>55</v>
      </c>
    </row>
    <row r="16" spans="1:16" ht="16.8">
      <c r="A16" s="40" t="s">
        <v>56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 t="s">
        <v>57</v>
      </c>
      <c r="B17" s="3" t="s">
        <v>58</v>
      </c>
      <c r="C17" s="3" t="s">
        <v>59</v>
      </c>
      <c r="D17" s="3" t="s">
        <v>60</v>
      </c>
      <c r="E17" s="3" t="s">
        <v>61</v>
      </c>
      <c r="F17" s="3" t="s">
        <v>62</v>
      </c>
      <c r="G17" s="3" t="s">
        <v>63</v>
      </c>
    </row>
    <row r="18" spans="1:16">
      <c r="A18" s="4" t="s">
        <v>64</v>
      </c>
      <c r="B18" s="9">
        <v>680000</v>
      </c>
      <c r="C18" s="9">
        <v>702000</v>
      </c>
      <c r="D18" s="9">
        <v>725000</v>
      </c>
      <c r="E18" s="9">
        <v>749000</v>
      </c>
      <c r="F18" s="9">
        <v>775000</v>
      </c>
      <c r="G18" s="9">
        <v>802000</v>
      </c>
    </row>
    <row r="19" spans="1:16">
      <c r="A19" s="4" t="s">
        <v>65</v>
      </c>
      <c r="B19" s="9">
        <v>28000</v>
      </c>
      <c r="C19" s="9">
        <v>30500</v>
      </c>
      <c r="D19" s="9">
        <v>33000</v>
      </c>
      <c r="E19" s="9">
        <v>35200</v>
      </c>
      <c r="F19" s="9">
        <v>37800</v>
      </c>
      <c r="G19" s="9">
        <v>41000</v>
      </c>
    </row>
    <row r="20" spans="1:16">
      <c r="A20" s="4" t="s">
        <v>66</v>
      </c>
      <c r="B20" s="9">
        <v>40000</v>
      </c>
      <c r="C20" s="9">
        <v>41000</v>
      </c>
      <c r="D20" s="9">
        <v>42000</v>
      </c>
      <c r="E20" s="9">
        <v>43000</v>
      </c>
      <c r="F20" s="9">
        <v>44000</v>
      </c>
      <c r="G20" s="9">
        <v>45000</v>
      </c>
    </row>
    <row r="21" spans="1:16">
      <c r="A21" s="10" t="s">
        <v>67</v>
      </c>
      <c r="B21" s="11">
        <f t="shared" ref="B21:G21" si="0">SUM(B18:B20)</f>
        <v>748000</v>
      </c>
      <c r="C21" s="11">
        <f t="shared" si="0"/>
        <v>773500</v>
      </c>
      <c r="D21" s="11">
        <f t="shared" si="0"/>
        <v>800000</v>
      </c>
      <c r="E21" s="11">
        <f t="shared" si="0"/>
        <v>827200</v>
      </c>
      <c r="F21" s="11">
        <f t="shared" si="0"/>
        <v>856800</v>
      </c>
      <c r="G21" s="11">
        <f t="shared" si="0"/>
        <v>888000</v>
      </c>
    </row>
    <row r="22" spans="1:16">
      <c r="A22" s="4"/>
    </row>
    <row r="23" spans="1:16">
      <c r="A23" s="4" t="s">
        <v>68</v>
      </c>
      <c r="B23" s="12">
        <v>420</v>
      </c>
      <c r="C23" s="12">
        <v>432</v>
      </c>
      <c r="D23" s="12">
        <v>446</v>
      </c>
      <c r="E23" s="12">
        <v>460</v>
      </c>
      <c r="F23" s="12">
        <v>475</v>
      </c>
      <c r="G23" s="12">
        <v>490</v>
      </c>
    </row>
    <row r="24" spans="1:16">
      <c r="A24" s="4" t="s">
        <v>69</v>
      </c>
      <c r="B24" s="12">
        <v>18</v>
      </c>
      <c r="C24" s="12">
        <v>19</v>
      </c>
      <c r="D24" s="12">
        <v>20</v>
      </c>
      <c r="E24" s="12">
        <v>20</v>
      </c>
      <c r="F24" s="12">
        <v>21</v>
      </c>
      <c r="G24" s="12">
        <v>22</v>
      </c>
    </row>
    <row r="25" spans="1:16">
      <c r="A25" s="4" t="s">
        <v>70</v>
      </c>
      <c r="B25" s="12">
        <v>5</v>
      </c>
      <c r="C25" s="12">
        <v>7</v>
      </c>
      <c r="D25" s="12">
        <v>6</v>
      </c>
      <c r="E25" s="12">
        <v>6</v>
      </c>
      <c r="F25" s="12">
        <v>6</v>
      </c>
      <c r="G25" s="12">
        <v>7</v>
      </c>
    </row>
    <row r="26" spans="1:16">
      <c r="A26" s="10" t="s">
        <v>71</v>
      </c>
      <c r="B26" s="13">
        <f t="shared" ref="B26:G26" si="1">B21/B23</f>
        <v>1780.952380952381</v>
      </c>
      <c r="C26" s="13">
        <f t="shared" si="1"/>
        <v>1790.5092592592594</v>
      </c>
      <c r="D26" s="13">
        <f t="shared" si="1"/>
        <v>1793.7219730941704</v>
      </c>
      <c r="E26" s="13">
        <f t="shared" si="1"/>
        <v>1798.2608695652175</v>
      </c>
      <c r="F26" s="13">
        <f t="shared" si="1"/>
        <v>1803.7894736842106</v>
      </c>
      <c r="G26" s="13">
        <f t="shared" si="1"/>
        <v>1812.2448979591836</v>
      </c>
    </row>
    <row r="28" spans="1:16" ht="16.8">
      <c r="A28" s="40" t="s">
        <v>72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</row>
    <row r="29" spans="1:16">
      <c r="A29" s="3" t="s">
        <v>57</v>
      </c>
      <c r="B29" s="3" t="s">
        <v>73</v>
      </c>
      <c r="C29" s="3" t="s">
        <v>74</v>
      </c>
      <c r="D29" s="3" t="s">
        <v>75</v>
      </c>
      <c r="E29" s="3" t="s">
        <v>76</v>
      </c>
      <c r="F29" s="3" t="s">
        <v>77</v>
      </c>
      <c r="G29" s="3" t="s">
        <v>78</v>
      </c>
      <c r="H29" s="3" t="s">
        <v>79</v>
      </c>
      <c r="I29" s="3" t="s">
        <v>80</v>
      </c>
      <c r="J29" s="3" t="s">
        <v>81</v>
      </c>
      <c r="K29" s="3" t="s">
        <v>82</v>
      </c>
      <c r="L29" s="3" t="s">
        <v>83</v>
      </c>
      <c r="M29" s="3" t="s">
        <v>84</v>
      </c>
    </row>
    <row r="30" spans="1:16">
      <c r="A30" s="4" t="s">
        <v>64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6">
      <c r="A31" s="4" t="s">
        <v>65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6">
      <c r="A32" s="4" t="s">
        <v>66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>
      <c r="A33" s="10" t="s">
        <v>67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4"/>
    </row>
    <row r="35" spans="1:13">
      <c r="A35" s="4" t="s">
        <v>68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>
      <c r="A36" s="4" t="s">
        <v>69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>
      <c r="A37" s="4" t="s">
        <v>70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>
      <c r="A38" s="10" t="s">
        <v>71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>
      <c r="A39" s="4"/>
    </row>
    <row r="40" spans="1:13">
      <c r="A40" s="4" t="s">
        <v>85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>
      <c r="A41" s="10" t="s">
        <v>86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4" spans="1:13" ht="16.8">
      <c r="A44" s="40" t="s">
        <v>87</v>
      </c>
      <c r="B44" s="40"/>
      <c r="C44" s="40"/>
      <c r="D44" s="40"/>
      <c r="E44" s="40"/>
      <c r="F44" s="40"/>
      <c r="G44" s="40"/>
      <c r="H44" s="40"/>
    </row>
    <row r="46" spans="1:13" ht="15" customHeight="1">
      <c r="A46" s="41" t="s">
        <v>88</v>
      </c>
      <c r="B46" s="41"/>
      <c r="C46" s="41"/>
      <c r="D46" s="41"/>
      <c r="E46" s="41"/>
      <c r="F46" s="41"/>
      <c r="G46" s="41"/>
      <c r="H46" s="41"/>
    </row>
    <row r="47" spans="1:13" ht="15" customHeight="1">
      <c r="A47" s="41" t="s">
        <v>89</v>
      </c>
      <c r="B47" s="41"/>
      <c r="C47" s="41"/>
      <c r="D47" s="41"/>
      <c r="E47" s="41"/>
      <c r="F47" s="41"/>
      <c r="G47" s="41"/>
      <c r="H47" s="41"/>
    </row>
    <row r="48" spans="1:13" ht="15" customHeight="1">
      <c r="A48" s="41" t="s">
        <v>90</v>
      </c>
      <c r="B48" s="41"/>
      <c r="C48" s="41"/>
      <c r="D48" s="41"/>
      <c r="E48" s="41"/>
      <c r="F48" s="41"/>
      <c r="G48" s="41"/>
      <c r="H48" s="41"/>
    </row>
    <row r="49" spans="1:8" ht="15" customHeight="1">
      <c r="A49" s="41" t="s">
        <v>91</v>
      </c>
      <c r="B49" s="41"/>
      <c r="C49" s="41"/>
      <c r="D49" s="41"/>
      <c r="E49" s="41"/>
      <c r="F49" s="41"/>
      <c r="G49" s="41"/>
      <c r="H49" s="41"/>
    </row>
    <row r="50" spans="1:8" ht="15" customHeight="1">
      <c r="A50" s="41" t="s">
        <v>92</v>
      </c>
      <c r="B50" s="41"/>
      <c r="C50" s="41"/>
      <c r="D50" s="41"/>
      <c r="E50" s="41"/>
      <c r="F50" s="41"/>
      <c r="G50" s="41"/>
      <c r="H50" s="41"/>
    </row>
    <row r="55" spans="1:8" ht="25.8">
      <c r="A55" s="25" t="s">
        <v>205</v>
      </c>
    </row>
  </sheetData>
  <mergeCells count="11">
    <mergeCell ref="A50:H50"/>
    <mergeCell ref="A44:H44"/>
    <mergeCell ref="A46:H46"/>
    <mergeCell ref="A47:H47"/>
    <mergeCell ref="A48:H48"/>
    <mergeCell ref="A49:H49"/>
    <mergeCell ref="A1:P1"/>
    <mergeCell ref="A2:P2"/>
    <mergeCell ref="A4:E4"/>
    <mergeCell ref="A16:P16"/>
    <mergeCell ref="A28:P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9D8F"/>
  </sheetPr>
  <dimension ref="A1:I66"/>
  <sheetViews>
    <sheetView showGridLines="0" topLeftCell="A52" zoomScale="55" zoomScaleNormal="55" workbookViewId="0">
      <selection activeCell="X87" sqref="X87"/>
    </sheetView>
  </sheetViews>
  <sheetFormatPr defaultColWidth="8.6640625" defaultRowHeight="14.4"/>
  <cols>
    <col min="1" max="1" width="24" customWidth="1"/>
    <col min="2" max="5" width="16" customWidth="1"/>
    <col min="6" max="9" width="14" customWidth="1"/>
  </cols>
  <sheetData>
    <row r="1" spans="1:9" ht="36" customHeight="1">
      <c r="A1" s="38" t="s">
        <v>93</v>
      </c>
      <c r="B1" s="38"/>
      <c r="C1" s="38"/>
      <c r="D1" s="38"/>
      <c r="E1" s="38"/>
      <c r="F1" s="38"/>
      <c r="G1" s="38"/>
      <c r="H1" s="38"/>
      <c r="I1" s="38"/>
    </row>
    <row r="2" spans="1:9" ht="15" customHeight="1">
      <c r="A2" s="39" t="s">
        <v>94</v>
      </c>
      <c r="B2" s="39"/>
      <c r="C2" s="39"/>
      <c r="D2" s="39"/>
      <c r="E2" s="39"/>
      <c r="F2" s="39"/>
      <c r="G2" s="39"/>
      <c r="H2" s="39"/>
      <c r="I2" s="39"/>
    </row>
    <row r="4" spans="1:9" ht="16.8">
      <c r="A4" s="40" t="s">
        <v>95</v>
      </c>
      <c r="B4" s="40"/>
      <c r="C4" s="40"/>
      <c r="D4" s="40"/>
      <c r="E4" s="40"/>
    </row>
    <row r="5" spans="1:9">
      <c r="A5" s="3" t="s">
        <v>31</v>
      </c>
      <c r="B5" s="3" t="s">
        <v>96</v>
      </c>
      <c r="C5" s="3" t="s">
        <v>34</v>
      </c>
    </row>
    <row r="6" spans="1:9" ht="26.4">
      <c r="A6" s="4" t="s">
        <v>97</v>
      </c>
      <c r="B6" s="5">
        <v>12000000</v>
      </c>
      <c r="C6" s="6" t="s">
        <v>98</v>
      </c>
    </row>
    <row r="7" spans="1:9">
      <c r="A7" s="4" t="s">
        <v>99</v>
      </c>
      <c r="B7" s="5">
        <v>1000000</v>
      </c>
      <c r="C7" s="6" t="s">
        <v>100</v>
      </c>
    </row>
    <row r="8" spans="1:9" ht="26.4">
      <c r="A8" s="4" t="s">
        <v>101</v>
      </c>
      <c r="B8" s="7">
        <v>0.72</v>
      </c>
      <c r="C8" s="6" t="s">
        <v>102</v>
      </c>
    </row>
    <row r="9" spans="1:9" ht="26.4">
      <c r="A9" s="4" t="s">
        <v>103</v>
      </c>
      <c r="B9" s="5">
        <v>620000</v>
      </c>
      <c r="C9" s="6" t="s">
        <v>104</v>
      </c>
    </row>
    <row r="10" spans="1:9">
      <c r="A10" s="4" t="s">
        <v>105</v>
      </c>
      <c r="B10" s="8">
        <v>85</v>
      </c>
      <c r="C10" s="6" t="s">
        <v>106</v>
      </c>
    </row>
    <row r="11" spans="1:9" ht="26.4">
      <c r="A11" s="4" t="s">
        <v>107</v>
      </c>
      <c r="B11" s="7">
        <v>0.1</v>
      </c>
      <c r="C11" s="6" t="s">
        <v>108</v>
      </c>
    </row>
    <row r="13" spans="1:9" ht="16.8">
      <c r="A13" s="40" t="s">
        <v>109</v>
      </c>
      <c r="B13" s="40"/>
      <c r="C13" s="40"/>
      <c r="D13" s="40"/>
      <c r="E13" s="40"/>
      <c r="F13" s="40"/>
      <c r="G13" s="40"/>
      <c r="H13" s="40"/>
      <c r="I13" s="40"/>
    </row>
    <row r="14" spans="1:9">
      <c r="A14" s="3" t="s">
        <v>110</v>
      </c>
      <c r="B14" s="3" t="s">
        <v>96</v>
      </c>
      <c r="C14" s="3" t="s">
        <v>111</v>
      </c>
      <c r="D14" s="3" t="s">
        <v>112</v>
      </c>
      <c r="E14" s="3" t="s">
        <v>113</v>
      </c>
      <c r="F14" s="3" t="s">
        <v>114</v>
      </c>
      <c r="G14" s="3" t="s">
        <v>115</v>
      </c>
      <c r="H14" s="3" t="s">
        <v>116</v>
      </c>
      <c r="I14" s="3" t="s">
        <v>117</v>
      </c>
    </row>
    <row r="15" spans="1:9">
      <c r="A15" s="10" t="s">
        <v>118</v>
      </c>
    </row>
    <row r="16" spans="1:9">
      <c r="A16" s="4" t="s">
        <v>119</v>
      </c>
      <c r="B16" s="9">
        <v>820000</v>
      </c>
      <c r="C16" s="9">
        <v>795000</v>
      </c>
      <c r="D16" s="15">
        <f>C16-B16</f>
        <v>-25000</v>
      </c>
      <c r="E16" s="16">
        <f>IF(B16=0,0,(C16-B16)/B16)</f>
        <v>-3.048780487804878E-2</v>
      </c>
      <c r="F16" s="6" t="str">
        <f>IF(C16&gt;=B16,"Favorable","Unfavorable")</f>
        <v>Unfavorable</v>
      </c>
      <c r="G16" s="9">
        <v>2460000</v>
      </c>
      <c r="H16" s="14"/>
      <c r="I16" s="9">
        <f>C16</f>
        <v>795000</v>
      </c>
    </row>
    <row r="17" spans="1:9">
      <c r="A17" s="4" t="s">
        <v>120</v>
      </c>
      <c r="B17" s="9">
        <v>95000</v>
      </c>
      <c r="C17" s="9">
        <v>108000</v>
      </c>
      <c r="D17" s="15">
        <f>C17-B17</f>
        <v>13000</v>
      </c>
      <c r="E17" s="16">
        <f>IF(B17=0,0,(C17-B17)/B17)</f>
        <v>0.1368421052631579</v>
      </c>
      <c r="F17" s="6" t="str">
        <f>IF(C17&gt;=B17,"Favorable","Unfavorable")</f>
        <v>Favorable</v>
      </c>
      <c r="G17" s="9">
        <v>285000</v>
      </c>
      <c r="H17" s="14"/>
      <c r="I17" s="9">
        <f>C17</f>
        <v>108000</v>
      </c>
    </row>
    <row r="18" spans="1:9">
      <c r="A18" s="4" t="s">
        <v>121</v>
      </c>
      <c r="B18" s="9">
        <v>85000</v>
      </c>
      <c r="C18" s="9">
        <v>72000</v>
      </c>
      <c r="D18" s="15">
        <f>C18-B18</f>
        <v>-13000</v>
      </c>
      <c r="E18" s="16">
        <f>IF(B18=0,0,(C18-B18)/B18)</f>
        <v>-0.15294117647058825</v>
      </c>
      <c r="F18" s="6" t="str">
        <f>IF(C18&gt;=B18,"Favorable","Unfavorable")</f>
        <v>Unfavorable</v>
      </c>
      <c r="G18" s="9">
        <v>255000</v>
      </c>
      <c r="H18" s="14"/>
      <c r="I18" s="9">
        <f>C18</f>
        <v>72000</v>
      </c>
    </row>
    <row r="19" spans="1:9">
      <c r="A19" s="17" t="s">
        <v>67</v>
      </c>
      <c r="B19" s="11">
        <f>SUM(B16:B18)</f>
        <v>1000000</v>
      </c>
      <c r="C19" s="11">
        <f>SUM(C16:C18)</f>
        <v>975000</v>
      </c>
      <c r="D19" s="18">
        <f>C19-B19</f>
        <v>-25000</v>
      </c>
      <c r="E19" s="19">
        <f>IF(B19=0,0,(C19-B19)/B19)</f>
        <v>-2.5000000000000001E-2</v>
      </c>
      <c r="G19" s="11">
        <f>SUM(G16:G18)</f>
        <v>3000000</v>
      </c>
      <c r="H19" s="14"/>
      <c r="I19" s="13">
        <f>C19</f>
        <v>975000</v>
      </c>
    </row>
    <row r="20" spans="1:9">
      <c r="A20" s="10"/>
    </row>
    <row r="21" spans="1:9">
      <c r="A21" s="10" t="s">
        <v>122</v>
      </c>
    </row>
    <row r="22" spans="1:9">
      <c r="A22" s="4" t="s">
        <v>123</v>
      </c>
      <c r="B22" s="9">
        <v>165000</v>
      </c>
      <c r="C22" s="9">
        <v>178000</v>
      </c>
      <c r="D22" s="15">
        <f>C22-B22</f>
        <v>13000</v>
      </c>
      <c r="E22" s="16">
        <f>IF(B22=0,0,(C22-B22)/B22)</f>
        <v>7.8787878787878782E-2</v>
      </c>
      <c r="F22" s="6" t="str">
        <f>IF(C22&lt;=B22,"Favorable","Unfavorable")</f>
        <v>Unfavorable</v>
      </c>
      <c r="G22" s="9">
        <v>495000</v>
      </c>
      <c r="H22" s="14"/>
      <c r="I22" s="9">
        <f>C22</f>
        <v>178000</v>
      </c>
    </row>
    <row r="23" spans="1:9">
      <c r="A23" s="4" t="s">
        <v>124</v>
      </c>
      <c r="B23" s="9">
        <v>95000</v>
      </c>
      <c r="C23" s="9">
        <v>92000</v>
      </c>
      <c r="D23" s="15">
        <f>C23-B23</f>
        <v>-3000</v>
      </c>
      <c r="E23" s="16">
        <f>IF(B23=0,0,(C23-B23)/B23)</f>
        <v>-3.1578947368421054E-2</v>
      </c>
      <c r="F23" s="6" t="str">
        <f>IF(C23&lt;=B23,"Favorable","Unfavorable")</f>
        <v>Favorable</v>
      </c>
      <c r="G23" s="9">
        <v>285000</v>
      </c>
      <c r="H23" s="14"/>
      <c r="I23" s="9">
        <f>C23</f>
        <v>92000</v>
      </c>
    </row>
    <row r="24" spans="1:9">
      <c r="A24" s="4" t="s">
        <v>125</v>
      </c>
      <c r="B24" s="9">
        <v>25000</v>
      </c>
      <c r="C24" s="9">
        <v>27500</v>
      </c>
      <c r="D24" s="15">
        <f>C24-B24</f>
        <v>2500</v>
      </c>
      <c r="E24" s="16">
        <f>IF(B24=0,0,(C24-B24)/B24)</f>
        <v>0.1</v>
      </c>
      <c r="F24" s="6" t="str">
        <f>IF(C24&lt;=B24,"Favorable","Unfavorable")</f>
        <v>Unfavorable</v>
      </c>
      <c r="G24" s="9">
        <v>75000</v>
      </c>
      <c r="H24" s="14"/>
      <c r="I24" s="9">
        <f>C24</f>
        <v>27500</v>
      </c>
    </row>
    <row r="25" spans="1:9">
      <c r="A25" s="17" t="s">
        <v>126</v>
      </c>
      <c r="B25" s="11">
        <f>SUM(B22:B24)</f>
        <v>285000</v>
      </c>
      <c r="C25" s="11">
        <f>SUM(C22:C24)</f>
        <v>297500</v>
      </c>
      <c r="D25" s="18">
        <f>C25-B25</f>
        <v>12500</v>
      </c>
      <c r="E25" s="19">
        <f>IF(B25=0,0,(C25-B25)/B25)</f>
        <v>4.3859649122807015E-2</v>
      </c>
      <c r="G25" s="11">
        <f>SUM(G22:G24)</f>
        <v>855000</v>
      </c>
      <c r="H25" s="14"/>
      <c r="I25" s="13">
        <f>C25</f>
        <v>297500</v>
      </c>
    </row>
    <row r="26" spans="1:9">
      <c r="A26" s="17" t="s">
        <v>127</v>
      </c>
      <c r="B26" s="20">
        <f>B19-B25</f>
        <v>715000</v>
      </c>
      <c r="C26" s="20">
        <f>C19-C25</f>
        <v>677500</v>
      </c>
      <c r="D26" s="21">
        <f>C26-B26</f>
        <v>-37500</v>
      </c>
      <c r="E26" s="19">
        <f>IF(B26=0,0,(C26-B26)/B26)</f>
        <v>-5.2447552447552448E-2</v>
      </c>
      <c r="G26" s="20">
        <f>G19-G25</f>
        <v>2145000</v>
      </c>
      <c r="H26" s="14"/>
      <c r="I26" s="13">
        <f>C26</f>
        <v>677500</v>
      </c>
    </row>
    <row r="27" spans="1:9">
      <c r="A27" s="17" t="s">
        <v>128</v>
      </c>
      <c r="B27" s="19">
        <f>IF(B19=0,0,B26/B19)</f>
        <v>0.71499999999999997</v>
      </c>
      <c r="C27" s="19">
        <f>IF(C19=0,0,C26/C19)</f>
        <v>0.69487179487179485</v>
      </c>
      <c r="G27" s="19">
        <f>IF(G19=0,0,G26/G19)</f>
        <v>0.71499999999999997</v>
      </c>
    </row>
    <row r="28" spans="1:9">
      <c r="A28" s="10"/>
    </row>
    <row r="29" spans="1:9">
      <c r="A29" s="10" t="s">
        <v>129</v>
      </c>
    </row>
    <row r="30" spans="1:9">
      <c r="A30" s="4" t="s">
        <v>130</v>
      </c>
      <c r="B30" s="9">
        <v>180000</v>
      </c>
      <c r="C30" s="9">
        <v>195000</v>
      </c>
      <c r="D30" s="15">
        <f t="shared" ref="D30:D36" si="0">C30-B30</f>
        <v>15000</v>
      </c>
      <c r="E30" s="16">
        <f t="shared" ref="E30:E36" si="1">IF(B30=0,0,(C30-B30)/B30)</f>
        <v>8.3333333333333329E-2</v>
      </c>
      <c r="F30" s="6" t="str">
        <f t="shared" ref="F30:F35" si="2">IF(C30&lt;=B30,"Favorable","Unfavorable")</f>
        <v>Unfavorable</v>
      </c>
      <c r="G30" s="9">
        <v>540000</v>
      </c>
      <c r="H30" s="14"/>
      <c r="I30" s="9">
        <f t="shared" ref="I30:I36" si="3">C30</f>
        <v>195000</v>
      </c>
    </row>
    <row r="31" spans="1:9">
      <c r="A31" s="4" t="s">
        <v>131</v>
      </c>
      <c r="B31" s="9">
        <v>220000</v>
      </c>
      <c r="C31" s="9">
        <v>215000</v>
      </c>
      <c r="D31" s="15">
        <f t="shared" si="0"/>
        <v>-5000</v>
      </c>
      <c r="E31" s="16">
        <f t="shared" si="1"/>
        <v>-2.2727272727272728E-2</v>
      </c>
      <c r="F31" s="6" t="str">
        <f t="shared" si="2"/>
        <v>Favorable</v>
      </c>
      <c r="G31" s="9">
        <v>660000</v>
      </c>
      <c r="H31" s="14"/>
      <c r="I31" s="9">
        <f t="shared" si="3"/>
        <v>215000</v>
      </c>
    </row>
    <row r="32" spans="1:9">
      <c r="A32" s="4" t="s">
        <v>132</v>
      </c>
      <c r="B32" s="9">
        <v>120000</v>
      </c>
      <c r="C32" s="9">
        <v>128000</v>
      </c>
      <c r="D32" s="15">
        <f t="shared" si="0"/>
        <v>8000</v>
      </c>
      <c r="E32" s="16">
        <f t="shared" si="1"/>
        <v>6.6666666666666666E-2</v>
      </c>
      <c r="F32" s="6" t="str">
        <f t="shared" si="2"/>
        <v>Unfavorable</v>
      </c>
      <c r="G32" s="9">
        <v>360000</v>
      </c>
      <c r="H32" s="14"/>
      <c r="I32" s="9">
        <f t="shared" si="3"/>
        <v>128000</v>
      </c>
    </row>
    <row r="33" spans="1:9">
      <c r="A33" s="4" t="s">
        <v>133</v>
      </c>
      <c r="B33" s="9">
        <v>45000</v>
      </c>
      <c r="C33" s="9">
        <v>45000</v>
      </c>
      <c r="D33" s="15">
        <f t="shared" si="0"/>
        <v>0</v>
      </c>
      <c r="E33" s="16">
        <f t="shared" si="1"/>
        <v>0</v>
      </c>
      <c r="F33" s="6" t="str">
        <f t="shared" si="2"/>
        <v>Favorable</v>
      </c>
      <c r="G33" s="9">
        <v>135000</v>
      </c>
      <c r="H33" s="14"/>
      <c r="I33" s="9">
        <f t="shared" si="3"/>
        <v>45000</v>
      </c>
    </row>
    <row r="34" spans="1:9">
      <c r="A34" s="4" t="s">
        <v>134</v>
      </c>
      <c r="B34" s="9">
        <v>30000</v>
      </c>
      <c r="C34" s="9">
        <v>42000</v>
      </c>
      <c r="D34" s="15">
        <f t="shared" si="0"/>
        <v>12000</v>
      </c>
      <c r="E34" s="16">
        <f t="shared" si="1"/>
        <v>0.4</v>
      </c>
      <c r="F34" s="6" t="str">
        <f t="shared" si="2"/>
        <v>Unfavorable</v>
      </c>
      <c r="G34" s="9">
        <v>90000</v>
      </c>
      <c r="H34" s="14"/>
      <c r="I34" s="9">
        <f t="shared" si="3"/>
        <v>42000</v>
      </c>
    </row>
    <row r="35" spans="1:9">
      <c r="A35" s="4" t="s">
        <v>135</v>
      </c>
      <c r="B35" s="9">
        <v>25000</v>
      </c>
      <c r="C35" s="9">
        <v>22000</v>
      </c>
      <c r="D35" s="15">
        <f t="shared" si="0"/>
        <v>-3000</v>
      </c>
      <c r="E35" s="16">
        <f t="shared" si="1"/>
        <v>-0.12</v>
      </c>
      <c r="F35" s="6" t="str">
        <f t="shared" si="2"/>
        <v>Favorable</v>
      </c>
      <c r="G35" s="9">
        <v>75000</v>
      </c>
      <c r="H35" s="14"/>
      <c r="I35" s="9">
        <f t="shared" si="3"/>
        <v>22000</v>
      </c>
    </row>
    <row r="36" spans="1:9">
      <c r="A36" s="17" t="s">
        <v>136</v>
      </c>
      <c r="B36" s="11">
        <f>SUM(B30:B35)</f>
        <v>620000</v>
      </c>
      <c r="C36" s="11">
        <f>SUM(C30:C35)</f>
        <v>647000</v>
      </c>
      <c r="D36" s="18">
        <f t="shared" si="0"/>
        <v>27000</v>
      </c>
      <c r="E36" s="19">
        <f t="shared" si="1"/>
        <v>4.3548387096774194E-2</v>
      </c>
      <c r="G36" s="11">
        <f>SUM(G30:G35)</f>
        <v>1860000</v>
      </c>
      <c r="H36" s="14"/>
      <c r="I36" s="13">
        <f t="shared" si="3"/>
        <v>647000</v>
      </c>
    </row>
    <row r="37" spans="1:9">
      <c r="A37" s="10"/>
    </row>
    <row r="38" spans="1:9">
      <c r="A38" s="17" t="s">
        <v>137</v>
      </c>
      <c r="B38" s="20">
        <f>B26-B36</f>
        <v>95000</v>
      </c>
      <c r="C38" s="20">
        <f>C26-C36</f>
        <v>30500</v>
      </c>
      <c r="D38" s="21">
        <f>C38-B38</f>
        <v>-64500</v>
      </c>
      <c r="E38" s="19">
        <f>IF(B38=0,0,(C38-B38)/B38)</f>
        <v>-0.67894736842105263</v>
      </c>
      <c r="G38" s="20">
        <f>G26-G36</f>
        <v>285000</v>
      </c>
      <c r="H38" s="14"/>
      <c r="I38" s="13">
        <f>C38</f>
        <v>30500</v>
      </c>
    </row>
    <row r="39" spans="1:9">
      <c r="A39" s="17" t="s">
        <v>138</v>
      </c>
      <c r="B39" s="19">
        <f>IF(B19=0,0,B38/B19)</f>
        <v>9.5000000000000001E-2</v>
      </c>
      <c r="C39" s="19">
        <f>IF(C19=0,0,C38/C19)</f>
        <v>3.1282051282051283E-2</v>
      </c>
      <c r="G39" s="19">
        <f>IF(G19=0,0,G38/G19)</f>
        <v>9.5000000000000001E-2</v>
      </c>
    </row>
    <row r="42" spans="1:9" ht="16.8">
      <c r="A42" s="40" t="s">
        <v>139</v>
      </c>
      <c r="B42" s="40"/>
      <c r="C42" s="40"/>
      <c r="D42" s="40"/>
      <c r="E42" s="40"/>
      <c r="F42" s="40"/>
    </row>
    <row r="43" spans="1:9">
      <c r="A43" s="3" t="s">
        <v>140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145</v>
      </c>
    </row>
    <row r="44" spans="1:9">
      <c r="A44" s="4" t="s">
        <v>146</v>
      </c>
      <c r="B44" s="12">
        <v>22</v>
      </c>
      <c r="C44" s="9">
        <v>180000</v>
      </c>
      <c r="D44" s="9">
        <v>195000</v>
      </c>
      <c r="E44" s="15">
        <f>D44-C44</f>
        <v>15000</v>
      </c>
      <c r="F44" s="9">
        <f>IF(B44=0,0,D44/B44)</f>
        <v>8863.636363636364</v>
      </c>
    </row>
    <row r="45" spans="1:9">
      <c r="A45" s="4" t="s">
        <v>147</v>
      </c>
      <c r="B45" s="12">
        <v>35</v>
      </c>
      <c r="C45" s="9">
        <v>220000</v>
      </c>
      <c r="D45" s="9">
        <v>215000</v>
      </c>
      <c r="E45" s="15">
        <f>D45-C45</f>
        <v>-5000</v>
      </c>
      <c r="F45" s="9">
        <f>IF(B45=0,0,D45/B45)</f>
        <v>6142.8571428571431</v>
      </c>
    </row>
    <row r="46" spans="1:9">
      <c r="A46" s="4" t="s">
        <v>148</v>
      </c>
      <c r="B46" s="12">
        <v>12</v>
      </c>
      <c r="C46" s="9">
        <v>120000</v>
      </c>
      <c r="D46" s="9">
        <v>128000</v>
      </c>
      <c r="E46" s="15">
        <f>D46-C46</f>
        <v>8000</v>
      </c>
      <c r="F46" s="9">
        <f>IF(B46=0,0,D46/B46)</f>
        <v>10666.666666666666</v>
      </c>
    </row>
    <row r="47" spans="1:9">
      <c r="A47" s="4" t="s">
        <v>149</v>
      </c>
      <c r="B47" s="12">
        <v>10</v>
      </c>
      <c r="C47" s="9">
        <v>95000</v>
      </c>
      <c r="D47" s="9">
        <v>92000</v>
      </c>
      <c r="E47" s="15">
        <f>D47-C47</f>
        <v>-3000</v>
      </c>
      <c r="F47" s="9">
        <f>IF(B47=0,0,D47/B47)</f>
        <v>9200</v>
      </c>
    </row>
    <row r="48" spans="1:9">
      <c r="A48" s="4" t="s">
        <v>150</v>
      </c>
      <c r="B48" s="12">
        <v>6</v>
      </c>
      <c r="C48" s="9">
        <v>75000</v>
      </c>
      <c r="D48" s="9">
        <v>75000</v>
      </c>
      <c r="E48" s="15">
        <f>D48-C48</f>
        <v>0</v>
      </c>
      <c r="F48" s="9">
        <f>IF(B48=0,0,D48/B48)</f>
        <v>12500</v>
      </c>
    </row>
    <row r="49" spans="1:8">
      <c r="A49" s="17" t="s">
        <v>151</v>
      </c>
      <c r="B49" s="22">
        <f>SUM(B44:B48)</f>
        <v>85</v>
      </c>
      <c r="C49" s="11">
        <f>SUM(C44:C48)</f>
        <v>690000</v>
      </c>
      <c r="D49" s="11">
        <f>SUM(D44:D48)</f>
        <v>705000</v>
      </c>
      <c r="E49" s="11">
        <f>SUM(E44:E48)</f>
        <v>15000</v>
      </c>
      <c r="F49" s="11">
        <f>SUM(F44:F48)</f>
        <v>47373.16017316017</v>
      </c>
    </row>
    <row r="52" spans="1:8" ht="16.8">
      <c r="A52" s="40" t="s">
        <v>87</v>
      </c>
      <c r="B52" s="40"/>
      <c r="C52" s="40"/>
      <c r="D52" s="40"/>
      <c r="E52" s="40"/>
      <c r="F52" s="40"/>
      <c r="G52" s="40"/>
      <c r="H52" s="40"/>
    </row>
    <row r="54" spans="1:8" ht="15" customHeight="1">
      <c r="A54" s="41" t="s">
        <v>152</v>
      </c>
      <c r="B54" s="41"/>
      <c r="C54" s="41"/>
      <c r="D54" s="41"/>
      <c r="E54" s="41"/>
      <c r="F54" s="41"/>
      <c r="G54" s="41"/>
      <c r="H54" s="41"/>
    </row>
    <row r="55" spans="1:8" ht="15" customHeight="1">
      <c r="A55" s="41" t="s">
        <v>153</v>
      </c>
      <c r="B55" s="41"/>
      <c r="C55" s="41"/>
      <c r="D55" s="41"/>
      <c r="E55" s="41"/>
      <c r="F55" s="41"/>
      <c r="G55" s="41"/>
      <c r="H55" s="41"/>
    </row>
    <row r="56" spans="1:8" ht="15" customHeight="1">
      <c r="A56" s="41" t="s">
        <v>154</v>
      </c>
      <c r="B56" s="41"/>
      <c r="C56" s="41"/>
      <c r="D56" s="41"/>
      <c r="E56" s="41"/>
      <c r="F56" s="41"/>
      <c r="G56" s="41"/>
      <c r="H56" s="41"/>
    </row>
    <row r="57" spans="1:8" ht="15" customHeight="1">
      <c r="A57" s="41" t="s">
        <v>155</v>
      </c>
      <c r="B57" s="41"/>
      <c r="C57" s="41"/>
      <c r="D57" s="41"/>
      <c r="E57" s="41"/>
      <c r="F57" s="41"/>
      <c r="G57" s="41"/>
      <c r="H57" s="41"/>
    </row>
    <row r="58" spans="1:8" ht="15" customHeight="1">
      <c r="A58" s="41" t="s">
        <v>156</v>
      </c>
      <c r="B58" s="41"/>
      <c r="C58" s="41"/>
      <c r="D58" s="41"/>
      <c r="E58" s="41"/>
      <c r="F58" s="41"/>
      <c r="G58" s="41"/>
      <c r="H58" s="41"/>
    </row>
    <row r="59" spans="1:8" ht="15" customHeight="1">
      <c r="A59" s="41" t="s">
        <v>157</v>
      </c>
      <c r="B59" s="41"/>
      <c r="C59" s="41"/>
      <c r="D59" s="41"/>
      <c r="E59" s="41"/>
      <c r="F59" s="41"/>
      <c r="G59" s="41"/>
      <c r="H59" s="41"/>
    </row>
    <row r="66" spans="1:1" ht="25.8">
      <c r="A66" s="25" t="s">
        <v>205</v>
      </c>
    </row>
  </sheetData>
  <mergeCells count="12">
    <mergeCell ref="A58:H58"/>
    <mergeCell ref="A59:H59"/>
    <mergeCell ref="A52:H52"/>
    <mergeCell ref="A54:H54"/>
    <mergeCell ref="A55:H55"/>
    <mergeCell ref="A56:H56"/>
    <mergeCell ref="A57:H57"/>
    <mergeCell ref="A1:I1"/>
    <mergeCell ref="A2:I2"/>
    <mergeCell ref="A4:E4"/>
    <mergeCell ref="A13:I13"/>
    <mergeCell ref="A42:F4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5CF6"/>
  </sheetPr>
  <dimension ref="A1:H69"/>
  <sheetViews>
    <sheetView showGridLines="0" topLeftCell="A51" zoomScale="85" zoomScaleNormal="85" workbookViewId="0">
      <selection activeCell="J50" sqref="J50"/>
    </sheetView>
  </sheetViews>
  <sheetFormatPr defaultColWidth="8.6640625" defaultRowHeight="14.4"/>
  <cols>
    <col min="1" max="1" width="26" customWidth="1"/>
    <col min="2" max="8" width="16" customWidth="1"/>
  </cols>
  <sheetData>
    <row r="1" spans="1:8" ht="36" customHeight="1">
      <c r="A1" s="38" t="s">
        <v>158</v>
      </c>
      <c r="B1" s="38"/>
      <c r="C1" s="38"/>
      <c r="D1" s="38"/>
      <c r="E1" s="38"/>
      <c r="F1" s="38"/>
      <c r="G1" s="38"/>
      <c r="H1" s="38"/>
    </row>
    <row r="2" spans="1:8" ht="21.6" customHeight="1">
      <c r="A2" s="39" t="s">
        <v>159</v>
      </c>
      <c r="B2" s="39"/>
      <c r="C2" s="39"/>
      <c r="D2" s="39"/>
      <c r="E2" s="39"/>
      <c r="F2" s="39"/>
      <c r="G2" s="39"/>
      <c r="H2" s="39"/>
    </row>
    <row r="4" spans="1:8" ht="16.8">
      <c r="A4" s="40" t="s">
        <v>160</v>
      </c>
      <c r="B4" s="40"/>
      <c r="C4" s="40"/>
      <c r="D4" s="40"/>
      <c r="E4" s="40"/>
    </row>
    <row r="5" spans="1:8">
      <c r="A5" s="3" t="s">
        <v>31</v>
      </c>
      <c r="B5" s="3" t="s">
        <v>161</v>
      </c>
      <c r="C5" s="3" t="s">
        <v>162</v>
      </c>
      <c r="D5" s="3" t="s">
        <v>163</v>
      </c>
      <c r="E5" s="3" t="s">
        <v>34</v>
      </c>
    </row>
    <row r="6" spans="1:8" ht="26.4">
      <c r="A6" s="4" t="s">
        <v>164</v>
      </c>
      <c r="B6" s="7">
        <v>0.1</v>
      </c>
      <c r="C6" s="7">
        <v>0.25</v>
      </c>
      <c r="D6" s="7">
        <v>0.4</v>
      </c>
      <c r="E6" s="6" t="s">
        <v>165</v>
      </c>
    </row>
    <row r="7" spans="1:8" ht="39.6">
      <c r="A7" s="4" t="s">
        <v>166</v>
      </c>
      <c r="B7" s="7">
        <v>0.65</v>
      </c>
      <c r="C7" s="7">
        <v>0.72</v>
      </c>
      <c r="D7" s="7">
        <v>0.78</v>
      </c>
      <c r="E7" s="6" t="s">
        <v>167</v>
      </c>
    </row>
    <row r="8" spans="1:8" ht="26.4">
      <c r="A8" s="4" t="s">
        <v>168</v>
      </c>
      <c r="B8" s="7">
        <v>0.25</v>
      </c>
      <c r="C8" s="7">
        <v>0.2</v>
      </c>
      <c r="D8" s="7">
        <v>0.18</v>
      </c>
      <c r="E8" s="6" t="s">
        <v>169</v>
      </c>
    </row>
    <row r="9" spans="1:8" ht="26.4">
      <c r="A9" s="4" t="s">
        <v>170</v>
      </c>
      <c r="B9" s="7">
        <v>0.22</v>
      </c>
      <c r="C9" s="7">
        <v>0.2</v>
      </c>
      <c r="D9" s="7">
        <v>0.18</v>
      </c>
      <c r="E9" s="6" t="s">
        <v>171</v>
      </c>
    </row>
    <row r="10" spans="1:8" ht="26.4">
      <c r="A10" s="4" t="s">
        <v>172</v>
      </c>
      <c r="B10" s="7">
        <v>0.12</v>
      </c>
      <c r="C10" s="7">
        <v>0.1</v>
      </c>
      <c r="D10" s="7">
        <v>0.08</v>
      </c>
      <c r="E10" s="6" t="s">
        <v>173</v>
      </c>
    </row>
    <row r="11" spans="1:8" ht="26.4">
      <c r="A11" s="4" t="s">
        <v>174</v>
      </c>
      <c r="B11" s="23">
        <v>1.5</v>
      </c>
      <c r="C11" s="23">
        <v>3</v>
      </c>
      <c r="D11" s="23">
        <v>5</v>
      </c>
      <c r="E11" s="6" t="s">
        <v>175</v>
      </c>
    </row>
    <row r="12" spans="1:8">
      <c r="A12" s="4" t="s">
        <v>176</v>
      </c>
      <c r="B12" s="7">
        <v>0.08</v>
      </c>
      <c r="C12" s="7">
        <v>0.05</v>
      </c>
      <c r="D12" s="7">
        <v>0.03</v>
      </c>
      <c r="E12" s="6" t="s">
        <v>177</v>
      </c>
    </row>
    <row r="13" spans="1:8" ht="26.4">
      <c r="A13" s="4" t="s">
        <v>178</v>
      </c>
      <c r="B13" s="7">
        <v>0.98</v>
      </c>
      <c r="C13" s="7">
        <v>1.1000000000000001</v>
      </c>
      <c r="D13" s="7">
        <v>1.25</v>
      </c>
      <c r="E13" s="6" t="s">
        <v>179</v>
      </c>
    </row>
    <row r="14" spans="1:8">
      <c r="A14" s="4" t="s">
        <v>180</v>
      </c>
      <c r="B14" s="7">
        <v>0.05</v>
      </c>
      <c r="C14" s="7">
        <v>0.15</v>
      </c>
      <c r="D14" s="7">
        <v>0.25</v>
      </c>
      <c r="E14" s="6" t="s">
        <v>181</v>
      </c>
    </row>
    <row r="15" spans="1:8">
      <c r="A15" s="4" t="s">
        <v>182</v>
      </c>
      <c r="B15" s="7">
        <v>0.03</v>
      </c>
      <c r="C15" s="7">
        <v>0.02</v>
      </c>
      <c r="D15" s="7">
        <v>1.4999999999999999E-2</v>
      </c>
      <c r="E15" s="6" t="s">
        <v>183</v>
      </c>
    </row>
    <row r="17" spans="1:4" ht="16.8">
      <c r="A17" s="40" t="s">
        <v>184</v>
      </c>
      <c r="B17" s="40"/>
      <c r="C17" s="40"/>
      <c r="D17" s="40"/>
    </row>
    <row r="18" spans="1:4">
      <c r="A18" s="3" t="s">
        <v>57</v>
      </c>
      <c r="B18" s="3" t="s">
        <v>185</v>
      </c>
      <c r="C18" s="3" t="s">
        <v>33</v>
      </c>
      <c r="D18" s="3"/>
    </row>
    <row r="19" spans="1:4">
      <c r="A19" s="10" t="s">
        <v>67</v>
      </c>
      <c r="B19" s="9">
        <v>10200000</v>
      </c>
      <c r="C19" s="6" t="s">
        <v>36</v>
      </c>
    </row>
    <row r="20" spans="1:4">
      <c r="A20" s="4" t="s">
        <v>119</v>
      </c>
      <c r="B20" s="9">
        <v>8500000</v>
      </c>
      <c r="C20" s="6" t="s">
        <v>36</v>
      </c>
    </row>
    <row r="21" spans="1:4">
      <c r="A21" s="4" t="s">
        <v>120</v>
      </c>
      <c r="B21" s="9">
        <v>1200000</v>
      </c>
      <c r="C21" s="6" t="s">
        <v>36</v>
      </c>
    </row>
    <row r="22" spans="1:4">
      <c r="A22" s="4" t="s">
        <v>121</v>
      </c>
      <c r="B22" s="9">
        <v>500000</v>
      </c>
      <c r="C22" s="6" t="s">
        <v>36</v>
      </c>
    </row>
    <row r="23" spans="1:4">
      <c r="A23" s="4" t="s">
        <v>126</v>
      </c>
      <c r="B23" s="9">
        <v>3060000</v>
      </c>
      <c r="C23" s="6" t="s">
        <v>36</v>
      </c>
    </row>
    <row r="24" spans="1:4">
      <c r="A24" s="10" t="s">
        <v>127</v>
      </c>
      <c r="B24" s="9">
        <v>7140000</v>
      </c>
      <c r="C24" s="6" t="s">
        <v>36</v>
      </c>
    </row>
    <row r="25" spans="1:4">
      <c r="A25" s="4" t="s">
        <v>166</v>
      </c>
      <c r="B25" s="16">
        <v>0.7</v>
      </c>
      <c r="C25" s="6" t="s">
        <v>39</v>
      </c>
    </row>
    <row r="26" spans="1:4">
      <c r="A26" s="4" t="s">
        <v>136</v>
      </c>
      <c r="B26" s="9">
        <v>5508000</v>
      </c>
      <c r="C26" s="6" t="s">
        <v>36</v>
      </c>
    </row>
    <row r="27" spans="1:4">
      <c r="A27" s="10" t="s">
        <v>137</v>
      </c>
      <c r="B27" s="9">
        <v>1632000</v>
      </c>
      <c r="C27" s="6" t="s">
        <v>36</v>
      </c>
    </row>
    <row r="28" spans="1:4">
      <c r="A28" s="4" t="s">
        <v>186</v>
      </c>
      <c r="B28" s="16">
        <v>0.16</v>
      </c>
      <c r="C28" s="6" t="s">
        <v>39</v>
      </c>
    </row>
    <row r="29" spans="1:4">
      <c r="A29" s="10" t="s">
        <v>187</v>
      </c>
      <c r="B29" s="9">
        <v>9600000</v>
      </c>
      <c r="C29" s="6" t="s">
        <v>36</v>
      </c>
    </row>
    <row r="30" spans="1:4">
      <c r="A30" s="4" t="s">
        <v>68</v>
      </c>
      <c r="B30" s="12">
        <v>490</v>
      </c>
      <c r="C30" s="6" t="s">
        <v>46</v>
      </c>
    </row>
    <row r="31" spans="1:4">
      <c r="A31" s="4" t="s">
        <v>188</v>
      </c>
      <c r="B31" s="12">
        <v>85</v>
      </c>
      <c r="C31" s="6" t="s">
        <v>46</v>
      </c>
    </row>
    <row r="33" spans="1:8" ht="16.8">
      <c r="A33" s="40" t="s">
        <v>189</v>
      </c>
      <c r="B33" s="40"/>
      <c r="C33" s="40"/>
      <c r="D33" s="40"/>
      <c r="E33" s="40"/>
      <c r="F33" s="40"/>
      <c r="G33" s="40"/>
      <c r="H33" s="40"/>
    </row>
    <row r="34" spans="1:8">
      <c r="A34" s="3" t="s">
        <v>110</v>
      </c>
      <c r="B34" s="3" t="s">
        <v>185</v>
      </c>
      <c r="C34" s="3" t="s">
        <v>161</v>
      </c>
      <c r="D34" s="3" t="s">
        <v>162</v>
      </c>
      <c r="E34" s="3" t="s">
        <v>163</v>
      </c>
      <c r="F34" s="3" t="s">
        <v>190</v>
      </c>
      <c r="G34" s="3" t="s">
        <v>191</v>
      </c>
      <c r="H34" s="3" t="s">
        <v>34</v>
      </c>
    </row>
    <row r="35" spans="1:8">
      <c r="A35" s="10" t="s">
        <v>67</v>
      </c>
      <c r="B35" s="9">
        <v>10200000</v>
      </c>
      <c r="C35" s="14"/>
      <c r="D35" s="14"/>
      <c r="E35" s="14"/>
      <c r="F35" s="14"/>
      <c r="G35" s="14"/>
      <c r="H35" s="14"/>
    </row>
    <row r="36" spans="1:8">
      <c r="A36" s="4" t="s">
        <v>119</v>
      </c>
      <c r="C36" s="14"/>
      <c r="D36" s="14"/>
      <c r="E36" s="14"/>
      <c r="F36" s="14"/>
      <c r="G36" s="14"/>
      <c r="H36" s="14"/>
    </row>
    <row r="37" spans="1:8">
      <c r="A37" s="4" t="s">
        <v>120</v>
      </c>
      <c r="C37" s="14"/>
      <c r="D37" s="14"/>
      <c r="E37" s="14"/>
      <c r="F37" s="14"/>
      <c r="G37" s="14"/>
      <c r="H37" s="14"/>
    </row>
    <row r="38" spans="1:8">
      <c r="A38" s="4" t="s">
        <v>121</v>
      </c>
      <c r="C38" s="14"/>
      <c r="D38" s="14"/>
      <c r="E38" s="14"/>
      <c r="F38" s="14"/>
      <c r="G38" s="14"/>
      <c r="H38" s="14"/>
    </row>
    <row r="39" spans="1:8">
      <c r="A39" s="4"/>
    </row>
    <row r="40" spans="1:8">
      <c r="A40" s="4" t="s">
        <v>126</v>
      </c>
      <c r="B40" s="9">
        <v>3060000</v>
      </c>
      <c r="C40" s="14"/>
      <c r="D40" s="14"/>
      <c r="E40" s="14"/>
      <c r="F40" s="14"/>
      <c r="G40" s="14"/>
      <c r="H40" s="14"/>
    </row>
    <row r="41" spans="1:8">
      <c r="A41" s="10" t="s">
        <v>127</v>
      </c>
      <c r="B41" s="9">
        <v>7140000</v>
      </c>
      <c r="C41" s="14"/>
      <c r="D41" s="14"/>
      <c r="E41" s="14"/>
      <c r="F41" s="14"/>
      <c r="G41" s="14"/>
      <c r="H41" s="14"/>
    </row>
    <row r="42" spans="1:8">
      <c r="A42" s="10" t="s">
        <v>128</v>
      </c>
      <c r="B42" s="16">
        <v>0.7</v>
      </c>
      <c r="C42" s="14"/>
      <c r="D42" s="14"/>
      <c r="E42" s="14"/>
      <c r="F42" s="14"/>
      <c r="G42" s="14"/>
      <c r="H42" s="14"/>
    </row>
    <row r="43" spans="1:8">
      <c r="A43" s="4"/>
    </row>
    <row r="44" spans="1:8">
      <c r="A44" s="4" t="s">
        <v>146</v>
      </c>
      <c r="B44" s="9">
        <v>2040000</v>
      </c>
      <c r="C44" s="14"/>
      <c r="D44" s="14"/>
      <c r="E44" s="14"/>
      <c r="F44" s="14"/>
      <c r="G44" s="14"/>
      <c r="H44" s="14"/>
    </row>
    <row r="45" spans="1:8">
      <c r="A45" s="4" t="s">
        <v>192</v>
      </c>
      <c r="B45" s="9">
        <v>2040000</v>
      </c>
      <c r="C45" s="14"/>
      <c r="D45" s="14"/>
      <c r="E45" s="14"/>
      <c r="F45" s="14"/>
      <c r="G45" s="14"/>
      <c r="H45" s="14"/>
    </row>
    <row r="46" spans="1:8">
      <c r="A46" s="4" t="s">
        <v>193</v>
      </c>
      <c r="B46" s="9">
        <v>1020000</v>
      </c>
      <c r="C46" s="14"/>
      <c r="D46" s="14"/>
      <c r="E46" s="14"/>
      <c r="F46" s="14"/>
      <c r="G46" s="14"/>
      <c r="H46" s="14"/>
    </row>
    <row r="47" spans="1:8">
      <c r="A47" s="10" t="s">
        <v>136</v>
      </c>
      <c r="B47" s="9">
        <v>5508000</v>
      </c>
      <c r="C47" s="14"/>
      <c r="D47" s="14"/>
      <c r="E47" s="14"/>
      <c r="F47" s="14"/>
      <c r="G47" s="14"/>
      <c r="H47" s="14"/>
    </row>
    <row r="48" spans="1:8">
      <c r="A48" s="4"/>
    </row>
    <row r="49" spans="1:8">
      <c r="A49" s="10" t="s">
        <v>137</v>
      </c>
      <c r="B49" s="9">
        <v>1632000</v>
      </c>
      <c r="C49" s="14"/>
      <c r="D49" s="14"/>
      <c r="E49" s="14"/>
      <c r="F49" s="14"/>
      <c r="G49" s="14"/>
      <c r="H49" s="14"/>
    </row>
    <row r="50" spans="1:8">
      <c r="A50" s="10" t="s">
        <v>138</v>
      </c>
      <c r="B50" s="16">
        <v>0.16</v>
      </c>
      <c r="C50" s="14"/>
      <c r="D50" s="14"/>
      <c r="E50" s="14"/>
      <c r="F50" s="14"/>
      <c r="G50" s="14"/>
      <c r="H50" s="14"/>
    </row>
    <row r="51" spans="1:8">
      <c r="A51" s="4"/>
    </row>
    <row r="52" spans="1:8">
      <c r="A52" s="10" t="s">
        <v>194</v>
      </c>
      <c r="B52" s="9">
        <v>1428000</v>
      </c>
      <c r="C52" s="14"/>
      <c r="D52" s="14"/>
      <c r="E52" s="14"/>
      <c r="F52" s="14"/>
      <c r="G52" s="14"/>
      <c r="H52" s="14"/>
    </row>
    <row r="53" spans="1:8">
      <c r="A53" s="10" t="s">
        <v>195</v>
      </c>
      <c r="B53" s="16">
        <v>0.14000000000000001</v>
      </c>
      <c r="C53" s="14"/>
      <c r="D53" s="14"/>
      <c r="E53" s="14"/>
      <c r="F53" s="14"/>
      <c r="G53" s="14"/>
      <c r="H53" s="14"/>
    </row>
    <row r="54" spans="1:8">
      <c r="A54" s="4"/>
    </row>
    <row r="55" spans="1:8">
      <c r="A55" s="10" t="s">
        <v>196</v>
      </c>
    </row>
    <row r="56" spans="1:8">
      <c r="A56" s="4" t="s">
        <v>187</v>
      </c>
      <c r="B56" s="9">
        <v>9600000</v>
      </c>
      <c r="C56" s="14"/>
      <c r="D56" s="14"/>
      <c r="E56" s="14"/>
      <c r="F56" s="14"/>
      <c r="G56" s="14"/>
      <c r="H56" s="14"/>
    </row>
    <row r="57" spans="1:8">
      <c r="A57" s="4" t="s">
        <v>68</v>
      </c>
      <c r="B57" s="9">
        <v>490</v>
      </c>
      <c r="C57" s="14"/>
      <c r="D57" s="14"/>
      <c r="E57" s="14"/>
      <c r="F57" s="14"/>
      <c r="G57" s="14"/>
      <c r="H57" s="14"/>
    </row>
    <row r="58" spans="1:8">
      <c r="A58" s="4" t="s">
        <v>188</v>
      </c>
      <c r="B58" s="12">
        <v>85</v>
      </c>
      <c r="C58" s="14"/>
      <c r="D58" s="14"/>
      <c r="E58" s="14"/>
      <c r="F58" s="14"/>
      <c r="G58" s="14"/>
      <c r="H58" s="14"/>
    </row>
    <row r="59" spans="1:8">
      <c r="A59" s="4" t="s">
        <v>197</v>
      </c>
      <c r="B59" s="9">
        <v>120000</v>
      </c>
      <c r="C59" s="14"/>
      <c r="D59" s="14"/>
      <c r="E59" s="14"/>
      <c r="F59" s="14"/>
      <c r="G59" s="14"/>
      <c r="H59" s="14"/>
    </row>
    <row r="62" spans="1:8" ht="16.8">
      <c r="A62" s="40" t="s">
        <v>87</v>
      </c>
      <c r="B62" s="40"/>
      <c r="C62" s="40"/>
      <c r="D62" s="40"/>
      <c r="E62" s="40"/>
      <c r="F62" s="40"/>
      <c r="G62" s="40"/>
      <c r="H62" s="40"/>
    </row>
    <row r="64" spans="1:8" ht="15" customHeight="1">
      <c r="A64" s="42" t="s">
        <v>198</v>
      </c>
      <c r="B64" s="42"/>
      <c r="C64" s="42"/>
      <c r="D64" s="42"/>
      <c r="E64" s="42"/>
      <c r="F64" s="42"/>
      <c r="G64" s="42"/>
      <c r="H64" s="42"/>
    </row>
    <row r="65" spans="1:8" ht="15" customHeight="1">
      <c r="A65" s="42" t="s">
        <v>199</v>
      </c>
      <c r="B65" s="42"/>
      <c r="C65" s="42"/>
      <c r="D65" s="42"/>
      <c r="E65" s="42"/>
      <c r="F65" s="42"/>
      <c r="G65" s="42"/>
      <c r="H65" s="42"/>
    </row>
    <row r="66" spans="1:8" ht="15" customHeight="1">
      <c r="A66" s="42" t="s">
        <v>200</v>
      </c>
      <c r="B66" s="42"/>
      <c r="C66" s="42"/>
      <c r="D66" s="42"/>
      <c r="E66" s="42"/>
      <c r="F66" s="42"/>
      <c r="G66" s="42"/>
      <c r="H66" s="42"/>
    </row>
    <row r="67" spans="1:8" ht="15" customHeight="1">
      <c r="A67" s="42" t="s">
        <v>201</v>
      </c>
      <c r="B67" s="42"/>
      <c r="C67" s="42"/>
      <c r="D67" s="42"/>
      <c r="E67" s="42"/>
      <c r="F67" s="42"/>
      <c r="G67" s="42"/>
      <c r="H67" s="42"/>
    </row>
    <row r="68" spans="1:8" ht="15" customHeight="1">
      <c r="A68" s="42" t="s">
        <v>202</v>
      </c>
      <c r="B68" s="42"/>
      <c r="C68" s="42"/>
      <c r="D68" s="42"/>
      <c r="E68" s="42"/>
      <c r="F68" s="42"/>
      <c r="G68" s="42"/>
      <c r="H68" s="42"/>
    </row>
    <row r="69" spans="1:8" ht="15" customHeight="1">
      <c r="A69" s="42" t="s">
        <v>203</v>
      </c>
      <c r="B69" s="42"/>
      <c r="C69" s="42"/>
      <c r="D69" s="42"/>
      <c r="E69" s="42"/>
      <c r="F69" s="42"/>
      <c r="G69" s="42"/>
      <c r="H69" s="42"/>
    </row>
  </sheetData>
  <mergeCells count="12">
    <mergeCell ref="A68:H68"/>
    <mergeCell ref="A69:H69"/>
    <mergeCell ref="A62:H62"/>
    <mergeCell ref="A64:H64"/>
    <mergeCell ref="A65:H65"/>
    <mergeCell ref="A66:H66"/>
    <mergeCell ref="A67:H67"/>
    <mergeCell ref="A1:H1"/>
    <mergeCell ref="A2:H2"/>
    <mergeCell ref="A4:E4"/>
    <mergeCell ref="A17:D17"/>
    <mergeCell ref="A33:H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Welcome</vt:lpstr>
      <vt:lpstr>Models Guide</vt:lpstr>
      <vt:lpstr>1 - Revenue Forecast</vt:lpstr>
      <vt:lpstr>2 - Budget vs Actuals</vt:lpstr>
      <vt:lpstr>3 - 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Martinez</dc:creator>
  <dc:description/>
  <cp:lastModifiedBy>Christian M</cp:lastModifiedBy>
  <cp:revision>0</cp:revision>
  <dcterms:created xsi:type="dcterms:W3CDTF">2026-02-28T13:11:50Z</dcterms:created>
  <dcterms:modified xsi:type="dcterms:W3CDTF">2026-03-02T06:53:39Z</dcterms:modified>
  <dc:language>en-US</dc:language>
</cp:coreProperties>
</file>