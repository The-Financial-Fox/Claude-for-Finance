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B272CBC0-5F0C-4D7F-8EE9-343A685F15FA}" xr6:coauthVersionLast="47" xr6:coauthVersionMax="47" xr10:uidLastSave="{00000000-0000-0000-0000-000000000000}"/>
  <bookViews>
    <workbookView xWindow="-23148" yWindow="-84" windowWidth="23256" windowHeight="12456" tabRatio="657" xr2:uid="{00000000-000D-0000-FFFF-FFFF00000000}"/>
  </bookViews>
  <sheets>
    <sheet name="Home" sheetId="8" r:id="rId1"/>
    <sheet name="Intro" sheetId="11" r:id="rId2"/>
    <sheet name="Other Models" sheetId="10" r:id="rId3"/>
    <sheet name="Prompt Library" sheetId="1" r:id="rId4"/>
    <sheet name="Tests" sheetId="9" r:id="rId5"/>
    <sheet name="Datasets →" sheetId="12" r:id="rId6"/>
    <sheet name="Dataset 1 – Cash Flow" sheetId="2" r:id="rId7"/>
    <sheet name="Dataset 2 – Revenue" sheetId="3" r:id="rId8"/>
    <sheet name="📊 Dataset 3 – Headcount" sheetId="4" r:id="rId9"/>
    <sheet name="📊 Dataset 4 – P&amp;L" sheetId="5" r:id="rId10"/>
    <sheet name="📊 Dataset 5 – Budget vs Actual" sheetId="6" r:id="rId11"/>
    <sheet name="📖 How to Use" sheetId="7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6" l="1"/>
  <c r="C20" i="6"/>
  <c r="D20" i="6" s="1"/>
  <c r="E20" i="6" s="1"/>
  <c r="B20" i="6"/>
  <c r="D19" i="6"/>
  <c r="E19" i="6" s="1"/>
  <c r="G19" i="6" s="1"/>
  <c r="D18" i="6"/>
  <c r="E18" i="6" s="1"/>
  <c r="G18" i="6" s="1"/>
  <c r="D17" i="6"/>
  <c r="E17" i="6" s="1"/>
  <c r="G17" i="6" s="1"/>
  <c r="F13" i="6"/>
  <c r="C13" i="6"/>
  <c r="D13" i="6" s="1"/>
  <c r="E13" i="6" s="1"/>
  <c r="B13" i="6"/>
  <c r="D12" i="6"/>
  <c r="E12" i="6" s="1"/>
  <c r="G12" i="6" s="1"/>
  <c r="D11" i="6"/>
  <c r="E11" i="6" s="1"/>
  <c r="G11" i="6" s="1"/>
  <c r="F8" i="6"/>
  <c r="F14" i="6" s="1"/>
  <c r="F22" i="6" s="1"/>
  <c r="C8" i="6"/>
  <c r="B8" i="6"/>
  <c r="B14" i="6" s="1"/>
  <c r="B22" i="6" s="1"/>
  <c r="D7" i="6"/>
  <c r="E7" i="6" s="1"/>
  <c r="G7" i="6" s="1"/>
  <c r="D6" i="6"/>
  <c r="E6" i="6" s="1"/>
  <c r="G6" i="6" s="1"/>
  <c r="F20" i="5"/>
  <c r="E20" i="5"/>
  <c r="D20" i="5"/>
  <c r="C20" i="5"/>
  <c r="B20" i="5"/>
  <c r="F12" i="5"/>
  <c r="E12" i="5"/>
  <c r="D12" i="5"/>
  <c r="C12" i="5"/>
  <c r="B12" i="5"/>
  <c r="F7" i="5"/>
  <c r="F13" i="5" s="1"/>
  <c r="E7" i="5"/>
  <c r="E13" i="5" s="1"/>
  <c r="D7" i="5"/>
  <c r="D13" i="5" s="1"/>
  <c r="C7" i="5"/>
  <c r="C13" i="5" s="1"/>
  <c r="B7" i="5"/>
  <c r="B13" i="5" s="1"/>
  <c r="H13" i="4"/>
  <c r="G13" i="4"/>
  <c r="F13" i="4"/>
  <c r="B13" i="4"/>
  <c r="H12" i="4"/>
  <c r="D12" i="4"/>
  <c r="E12" i="4" s="1"/>
  <c r="H11" i="4"/>
  <c r="D11" i="4"/>
  <c r="E11" i="4" s="1"/>
  <c r="H10" i="4"/>
  <c r="D10" i="4"/>
  <c r="E10" i="4" s="1"/>
  <c r="H9" i="4"/>
  <c r="D9" i="4"/>
  <c r="E9" i="4" s="1"/>
  <c r="H8" i="4"/>
  <c r="D8" i="4"/>
  <c r="E8" i="4" s="1"/>
  <c r="H7" i="4"/>
  <c r="D7" i="4"/>
  <c r="E7" i="4" s="1"/>
  <c r="H6" i="4"/>
  <c r="D6" i="4"/>
  <c r="E6" i="4" s="1"/>
  <c r="H5" i="4"/>
  <c r="D5" i="4"/>
  <c r="E5" i="4" s="1"/>
  <c r="E9" i="3"/>
  <c r="F9" i="3" s="1"/>
  <c r="D9" i="3"/>
  <c r="C9" i="3"/>
  <c r="B9" i="3"/>
  <c r="F8" i="3"/>
  <c r="I7" i="3"/>
  <c r="F7" i="3"/>
  <c r="I6" i="3"/>
  <c r="F6" i="3"/>
  <c r="I5" i="3"/>
  <c r="F5" i="3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0" i="2"/>
  <c r="N19" i="2" s="1"/>
  <c r="M10" i="2"/>
  <c r="M19" i="2" s="1"/>
  <c r="L10" i="2"/>
  <c r="L19" i="2" s="1"/>
  <c r="K10" i="2"/>
  <c r="K19" i="2" s="1"/>
  <c r="J10" i="2"/>
  <c r="J19" i="2" s="1"/>
  <c r="I10" i="2"/>
  <c r="I19" i="2" s="1"/>
  <c r="H10" i="2"/>
  <c r="H19" i="2" s="1"/>
  <c r="G10" i="2"/>
  <c r="G19" i="2" s="1"/>
  <c r="F10" i="2"/>
  <c r="F19" i="2" s="1"/>
  <c r="E10" i="2"/>
  <c r="E19" i="2" s="1"/>
  <c r="D10" i="2"/>
  <c r="D19" i="2" s="1"/>
  <c r="C10" i="2"/>
  <c r="C19" i="2" s="1"/>
  <c r="B10" i="2"/>
  <c r="B19" i="2" s="1"/>
  <c r="B20" i="2" s="1"/>
  <c r="C20" i="2" s="1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D8" i="6" l="1"/>
  <c r="E8" i="6" s="1"/>
  <c r="C14" i="6"/>
  <c r="F22" i="5"/>
  <c r="F14" i="5"/>
  <c r="E14" i="5"/>
  <c r="E22" i="5"/>
  <c r="D14" i="5"/>
  <c r="D22" i="5"/>
  <c r="C22" i="5"/>
  <c r="C14" i="5"/>
  <c r="B22" i="5"/>
  <c r="B14" i="5"/>
  <c r="E13" i="4"/>
  <c r="D14" i="6" l="1"/>
  <c r="E14" i="6" s="1"/>
  <c r="C22" i="6"/>
  <c r="D22" i="6" s="1"/>
  <c r="E22" i="6" s="1"/>
  <c r="F26" i="5"/>
  <c r="F23" i="5"/>
  <c r="E23" i="5"/>
  <c r="E26" i="5"/>
  <c r="D26" i="5"/>
  <c r="D23" i="5"/>
  <c r="C23" i="5"/>
  <c r="C26" i="5"/>
  <c r="B23" i="5"/>
  <c r="B26" i="5"/>
  <c r="F28" i="5" l="1"/>
  <c r="F29" i="5" s="1"/>
  <c r="F30" i="5" s="1"/>
  <c r="E28" i="5"/>
  <c r="E29" i="5" s="1"/>
  <c r="E30" i="5" s="1"/>
  <c r="D28" i="5"/>
  <c r="D29" i="5" s="1"/>
  <c r="D30" i="5" s="1"/>
  <c r="C28" i="5"/>
  <c r="C29" i="5" s="1"/>
  <c r="C30" i="5" s="1"/>
  <c r="B28" i="5"/>
  <c r="B29" i="5" s="1"/>
  <c r="B30" i="5" s="1"/>
</calcChain>
</file>

<file path=xl/sharedStrings.xml><?xml version="1.0" encoding="utf-8"?>
<sst xmlns="http://schemas.openxmlformats.org/spreadsheetml/2006/main" count="343" uniqueCount="239">
  <si>
    <t>Claude Fable 5 — FP&amp;A Prompt Library</t>
  </si>
  <si>
    <t>By Christian Martinez · The Financial Fox  |  30 ready-to-use prompts for FP&amp;A and Finance</t>
  </si>
  <si>
    <t>#</t>
  </si>
  <si>
    <t>Category</t>
  </si>
  <si>
    <t>Prompt</t>
  </si>
  <si>
    <t>Complexity</t>
  </si>
  <si>
    <t>Model Tip</t>
  </si>
  <si>
    <t>Notes</t>
  </si>
  <si>
    <t>Forecasting &amp; Modelling</t>
  </si>
  <si>
    <t>Build a 3-statement financial model (P&amp;L, balance sheet, cash flow) for a SaaS business with [X] ARR growing at [Y]% annually. Include scenario toggles for bear, base, and bull cases.</t>
  </si>
  <si>
    <t>High</t>
  </si>
  <si>
    <t>Fable 5</t>
  </si>
  <si>
    <t>Paste historical financials to anchor assumptions</t>
  </si>
  <si>
    <t>Create a rolling 13-week cash flow forecast template with variance tracking against prior week actuals.</t>
  </si>
  <si>
    <t>Medium</t>
  </si>
  <si>
    <t>Fable 5 / Sonnet 4.6</t>
  </si>
  <si>
    <t>Use Dataset 1 (Cash Flow) as test data</t>
  </si>
  <si>
    <t>Model the revenue impact of a 5% price increase across our three customer segments, assuming [X]% churn sensitivity per segment.</t>
  </si>
  <si>
    <t>Use Dataset 2 (Revenue) as test data</t>
  </si>
  <si>
    <t>Build a headcount-driven opex forecast that ties salary, benefits, and recruiting costs to a hiring plan by department.</t>
  </si>
  <si>
    <t>Sonnet 4.6</t>
  </si>
  <si>
    <t>Use Dataset 3 (Headcount) as test data</t>
  </si>
  <si>
    <t>Forecast EBITDA for the next 8 quarters using these historical financials: [paste data]. Flag which assumptions are most sensitive to outcome.</t>
  </si>
  <si>
    <t>Use Dataset 4 (P&amp;L) as test data</t>
  </si>
  <si>
    <t>Model how changes in FX rates (USD/EUR and USD/GBP) affect our reported revenue, given that 35% of sales are denominated in Europe.</t>
  </si>
  <si>
    <t>Add FX sensitivity table request</t>
  </si>
  <si>
    <t>Variance Analysis</t>
  </si>
  <si>
    <t>Analyze this month's budget vs. actuals. Identify the top 5 drivers of variance and draft CFO-ready commentary explaining each one: [paste data].</t>
  </si>
  <si>
    <t>Use Dataset 5 (Budget vs Actuals)</t>
  </si>
  <si>
    <t>Write a board-ready variance narrative for a quarter where revenue missed by 8% but EBITDA beat by 3%. Be direct — no hedging language.</t>
  </si>
  <si>
    <t>Provide actual vs budget numbers</t>
  </si>
  <si>
    <t>Our opex came in 12% over budget. Here are the line items: [paste]. Identify which variances are structural vs. one-time, and recommend which to address in the reforecast.</t>
  </si>
  <si>
    <t>Compare actuals to our original annual plan and to the most recent reforecast. Highlight where the business has consistently over- or under-delivered and what that implies for next year's planning assumptions.</t>
  </si>
  <si>
    <t>Requires 3 data inputs: plan, reforecast, actuals</t>
  </si>
  <si>
    <t>Business Partnering</t>
  </si>
  <si>
    <t>A business unit wants to hire 6 additional salespeople at $120K OTE. Model the payback period assuming $180K ACV deals and a 9-month ramp.</t>
  </si>
  <si>
    <t>Adjust OTE and ACV to your numbers</t>
  </si>
  <si>
    <t>We're evaluating a $2M marketing spend increase. Build a simple ROI model assuming conversion rates of [X]% and average deal sizes of [Y].</t>
  </si>
  <si>
    <t>Use Dataset 2 (Revenue) for deal size benchmarks</t>
  </si>
  <si>
    <t>Help me build a make-vs-buy analysis for outsourcing our customer support function. Here are our current cost inputs: [paste].</t>
  </si>
  <si>
    <t>Use Dataset 3 (Headcount) for cost inputs</t>
  </si>
  <si>
    <t>Create a unit economics dashboard template showing CAC, LTV, LTV:CAC ratio, and payback period, with the formula for each metric clearly explained.</t>
  </si>
  <si>
    <t>Use Dataset 2 (Revenue) for cohort data</t>
  </si>
  <si>
    <t>Our sales team is requesting higher commission rates. Model three alternative commission structures and show the P&amp;L impact at $10M, $20M, and $30M revenue.</t>
  </si>
  <si>
    <t>Build a scenario toggle in your model</t>
  </si>
  <si>
    <t>We're considering two acquisition targets. Help me build a side-by-side comparison on revenue quality, margin profile, integration cost, and 3-year accretion/dilution.</t>
  </si>
  <si>
    <t>Paste target financials alongside this prompt</t>
  </si>
  <si>
    <t>Reporting &amp; Storytelling</t>
  </si>
  <si>
    <t>Turn this raw financial data into a concise, executive-level monthly business review narrative: [paste data]. Tone should be direct and factual, not defensive.</t>
  </si>
  <si>
    <t>Draft a CFO memo to the board explaining why we're revising full-year guidance down by 10%, with context, root causes, and three specific mitigation actions.</t>
  </si>
  <si>
    <t>Specify the reasons for the miss clearly</t>
  </si>
  <si>
    <t>Write the financial section of an investor update for a Series B company that grew 40% YoY but widened its net loss by 15%. Frame the loss widening as intentional investment.</t>
  </si>
  <si>
    <t>Pair with Dataset 4 (P&amp;L) for real numbers</t>
  </si>
  <si>
    <t>Create a one-page QBR financial summary covering revenue, gross margin, opex, EBITDA, and cash. Include 3 key takeaway messages a non-finance exec will immediately understand.</t>
  </si>
  <si>
    <t>Low</t>
  </si>
  <si>
    <t>Help me translate this technical accounting note into plain English for a non-finance executive audience: [paste]. Remove jargon, preserve accuracy.</t>
  </si>
  <si>
    <t>Works well for lease, revenue rec, or pension notes</t>
  </si>
  <si>
    <t>We're preparing for an audit committee meeting. Draft talking points covering our key accounting judgements, material estimates, and any areas of risk for the CFO to present.</t>
  </si>
  <si>
    <t>Include your top 3 audit risk areas</t>
  </si>
  <si>
    <t>Scenario Planning</t>
  </si>
  <si>
    <t>Run a downside scenario where revenue is 20% below plan. Show the cascade effect on gross profit, opex (with and without cost cuts), EBITDA, and cash runway.</t>
  </si>
  <si>
    <t>Use Dataset 1 (Cash Flow) + Dataset 4 (P&amp;L)</t>
  </si>
  <si>
    <t>Build a sensitivity table showing net income at different combinations of revenue growth (0–30%) and gross margin (40–60%).</t>
  </si>
  <si>
    <t>Request a 2-variable data table output</t>
  </si>
  <si>
    <t>We have 14 months of cash runway. Model three cost-cutting scenarios that extend runway to 18, 24, and 30 months respectively, showing which opex lines are cut in each case.</t>
  </si>
  <si>
    <t>Stress test our debt covenant compliance (net leverage ≤ 3.5x, interest coverage ≥ 2.5x) under three revenue scenarios for the next four quarters. Flag when and which covenants breach.</t>
  </si>
  <si>
    <t>Input current debt schedule and EBITDA</t>
  </si>
  <si>
    <t>Model the impact of a 200bps interest rate rise on our floating-rate debt, our pension liability, and the discount rate used in our DCF valuation. Summarise total financial exposure.</t>
  </si>
  <si>
    <t>Requires debt schedule and pension data inputs</t>
  </si>
  <si>
    <t>Process &amp; Automation</t>
  </si>
  <si>
    <t>Write a Python script that reads our monthly actuals from a CSV, compares them to budget, and outputs a formatted variance report — highlighting in red any line over 10% variance.</t>
  </si>
  <si>
    <t>Use Dataset 5 (Budget vs Actuals) to test it</t>
  </si>
  <si>
    <t>Review this financial model for logical errors, circular references, and weak assumptions. Then suggest three structural improvements that would make it more resilient to reforecasting: [describe or paste model].</t>
  </si>
  <si>
    <t>Works best with the full model pasted in</t>
  </si>
  <si>
    <t>TechCo Ltd — 13-Week Rolling Cash Flow Forecast</t>
  </si>
  <si>
    <t>Use with Prompt #2 (13-week cash flow) and Prompt #26 (runway extension scenarios)  |  Blue = input  |  Black = formula</t>
  </si>
  <si>
    <t>Line Item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</si>
  <si>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</si>
  <si>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</si>
  <si>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</si>
  <si>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</si>
  <si>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</si>
  <si>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</si>
  <si>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</si>
  <si>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</si>
  <si>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</si>
  <si>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</si>
  <si>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</si>
  <si>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</si>
  <si>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</si>
  <si>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Opening Cash Balance (£k)</t>
  </si>
  <si>
    <t>INFLOWS</t>
  </si>
  <si>
    <t xml:space="preserve">  Customer receipts</t>
  </si>
  <si>
    <t xml:space="preserve">  Interest received</t>
  </si>
  <si>
    <t xml:space="preserve">  Other inflows</t>
  </si>
  <si>
    <t>Total Inflows</t>
  </si>
  <si>
    <t>OUTFLOWS</t>
  </si>
  <si>
    <t xml:space="preserve">  Payroll &amp; benefits</t>
  </si>
  <si>
    <t xml:space="preserve">  Rent &amp; facilities</t>
  </si>
  <si>
    <t xml:space="preserve">  Supplier payments</t>
  </si>
  <si>
    <t xml:space="preserve">  Tax &amp; VAT</t>
  </si>
  <si>
    <t xml:space="preserve">  Capex</t>
  </si>
  <si>
    <t xml:space="preserve">  Other outflows</t>
  </si>
  <si>
    <t>Total Outflows</t>
  </si>
  <si>
    <t>Net Cash Flow (£k)</t>
  </si>
  <si>
    <t>Closing Cash Balance (£k)</t>
  </si>
  <si>
    <t>TechCo Ltd — Revenue by Segment &amp; Cohort (Annual, $000s)</t>
  </si>
  <si>
    <t>Use with Prompt #3 (price increase), #13 (marketing ROI), #15 (unit economics)  |  Blue = input  |  Black = formula</t>
  </si>
  <si>
    <t>Segment</t>
  </si>
  <si>
    <t>2022A</t>
  </si>
  <si>
    <t>2023A</t>
  </si>
  <si>
    <t>2024A</t>
  </si>
  <si>
    <t>2025A</t>
  </si>
  <si>
    <t>YoY Gr% (25)</t>
  </si>
  <si>
    <t>Avg Price ($)</t>
  </si>
  <si>
    <t>Customers</t>
  </si>
  <si>
    <t>ARR / Customer ($)</t>
  </si>
  <si>
    <t>Enterprise</t>
  </si>
  <si>
    <t>Mid-Market</t>
  </si>
  <si>
    <t>SMB</t>
  </si>
  <si>
    <t>Professional Svcs</t>
  </si>
  <si>
    <t>N/A</t>
  </si>
  <si>
    <t>Total Revenue</t>
  </si>
  <si>
    <t>TechCo Ltd — Headcount &amp; Compensation by Department (FY2025)</t>
  </si>
  <si>
    <t>Use with Prompt #4 (headcount opex), #12 (sales hiring payback), #14 (make vs buy)  |  Blue = input  |  Black = formula</t>
  </si>
  <si>
    <t>Department</t>
  </si>
  <si>
    <t>Headcount</t>
  </si>
  <si>
    <t>Avg Base Salary ($k)</t>
  </si>
  <si>
    <t>Benefits (30%)</t>
  </si>
  <si>
    <t>Total Cash ($k)</t>
  </si>
  <si>
    <t>Open Reqs</t>
  </si>
  <si>
    <t>Planned Hires (H2)</t>
  </si>
  <si>
    <t>Projected YE Total</t>
  </si>
  <si>
    <t>Sales</t>
  </si>
  <si>
    <t>Marketing</t>
  </si>
  <si>
    <t>Engineering</t>
  </si>
  <si>
    <t>Product</t>
  </si>
  <si>
    <t>Customer Success</t>
  </si>
  <si>
    <t>Finance &amp; Legal</t>
  </si>
  <si>
    <t>HR &amp; Operations</t>
  </si>
  <si>
    <t>G&amp;A / Executive</t>
  </si>
  <si>
    <t>Total</t>
  </si>
  <si>
    <t>TechCo Ltd — Income Statement ($000s) | 2021A–2025A</t>
  </si>
  <si>
    <t>Use with Prompt #5 (EBITDA forecast), #7 (variance), #8 (margin bridge), #18 (MBR narrative)  |  Blue = input  |  Black = formula</t>
  </si>
  <si>
    <t>REVENUE</t>
  </si>
  <si>
    <t>2021A</t>
  </si>
  <si>
    <t xml:space="preserve">  Subscription Revenue</t>
  </si>
  <si>
    <t xml:space="preserve">  Professional Services</t>
  </si>
  <si>
    <t>COST OF REVENUE</t>
  </si>
  <si>
    <t xml:space="preserve">  Cost of Subscription</t>
  </si>
  <si>
    <t xml:space="preserve">  Cost of Professional Svcs</t>
  </si>
  <si>
    <t>Total COGS</t>
  </si>
  <si>
    <t>GROSS PROFIT</t>
  </si>
  <si>
    <t>Gross Margin %</t>
  </si>
  <si>
    <t>OPERATING EXPENSES</t>
  </si>
  <si>
    <t xml:space="preserve">  Sales &amp; Marketing</t>
  </si>
  <si>
    <t xml:space="preserve">  Research &amp; Development</t>
  </si>
  <si>
    <t xml:space="preserve">  General &amp; Administrative</t>
  </si>
  <si>
    <t>Total Opex</t>
  </si>
  <si>
    <t>EBITDA</t>
  </si>
  <si>
    <t>EBITDA Margin %</t>
  </si>
  <si>
    <t xml:space="preserve">  D&amp;A</t>
  </si>
  <si>
    <t>EBIT</t>
  </si>
  <si>
    <t xml:space="preserve">  Interest Expense</t>
  </si>
  <si>
    <t xml:space="preserve">  Tax (25%)</t>
  </si>
  <si>
    <t>NET INCOME / (LOSS)</t>
  </si>
  <si>
    <t>Net Margin %</t>
  </si>
  <si>
    <t>TechCo Ltd — Budget vs. Actuals | Q2 2025 ($000s)</t>
  </si>
  <si>
    <t>Use with Prompt #7 (variance analysis), #10 (opex over budget), #29 (Python automation script)  |  Blue = input  |  Black = formula</t>
  </si>
  <si>
    <t>Budget ($k)</t>
  </si>
  <si>
    <t>Actuals ($k)</t>
  </si>
  <si>
    <t>Variance ($k)</t>
  </si>
  <si>
    <t>Variance %</t>
  </si>
  <si>
    <t>vs Prior Qtr ($k)</t>
  </si>
  <si>
    <t>Flag</t>
  </si>
  <si>
    <t xml:space="preserve">  Subscription</t>
  </si>
  <si>
    <t>Enterprise deals slipped to Q3</t>
  </si>
  <si>
    <t xml:space="preserve">  Professional Svcs</t>
  </si>
  <si>
    <t>Above budget — higher utilisation</t>
  </si>
  <si>
    <t xml:space="preserve">  Infra &amp; Hosting</t>
  </si>
  <si>
    <t>Cloud costs up; migration pending</t>
  </si>
  <si>
    <t xml:space="preserve">  Support Staff</t>
  </si>
  <si>
    <t>One open role not yet filled</t>
  </si>
  <si>
    <t>Trade show cost pulled forward</t>
  </si>
  <si>
    <t xml:space="preserve">  R&amp;D</t>
  </si>
  <si>
    <t>Contractor spend above plan</t>
  </si>
  <si>
    <t xml:space="preserve">  G&amp;A</t>
  </si>
  <si>
    <t>Legal fees re: contract review</t>
  </si>
  <si>
    <t>How to Use This Workbook</t>
  </si>
  <si>
    <t>STEP</t>
  </si>
  <si>
    <t>WHAT TO DO</t>
  </si>
  <si>
    <t>HOW</t>
  </si>
  <si>
    <t>TIP</t>
  </si>
  <si>
    <t>1</t>
  </si>
  <si>
    <t>Pick a prompt</t>
  </si>
  <si>
    <t>Go to the Prompt Library tab. Browse by category: Forecasting, Variance, Business Partnering, Reporting, Scenario Planning, or Process.</t>
  </si>
  <si>
    <t>Start with Medium complexity prompts</t>
  </si>
  <si>
    <t>2</t>
  </si>
  <si>
    <t>Find the dataset</t>
  </si>
  <si>
    <t>Each prompt has a Notes column pointing to the relevant dataset tab (Dataset 1 to 5). Open that tab.</t>
  </si>
  <si>
    <t>All datasets are realistic but fictional</t>
  </si>
  <si>
    <t>3</t>
  </si>
  <si>
    <t>Copy the data</t>
  </si>
  <si>
    <t>Select all data in the dataset tab (Ctrl+A), copy it (Ctrl+C), and paste into your Claude prompt as plain text or a table.</t>
  </si>
  <si>
    <t>Use Ctrl+Shift+V to paste as plain text</t>
  </si>
  <si>
    <t>4</t>
  </si>
  <si>
    <t>Paste into Claude</t>
  </si>
  <si>
    <t>Open claude.ai and select Claude Fable 5 from the model dropdown. Paste: your prompt + Here is the data: + pasted data.</t>
  </si>
  <si>
    <t>Free until June 22 on Pro/Max/Team plans</t>
  </si>
  <si>
    <t>5</t>
  </si>
  <si>
    <t>Iterate</t>
  </si>
  <si>
    <t>Ask Claude to refine, add scenarios, change assumptions, or reformat the output. Fable 5 holds full context across turns.</t>
  </si>
  <si>
    <t>The longer your session, the better Fable 5 gets</t>
  </si>
  <si>
    <t>Quick Model Guide — Which Claude to use?</t>
  </si>
  <si>
    <t>Model</t>
  </si>
  <si>
    <t>Tagline</t>
  </si>
  <si>
    <t>Best for in Finance</t>
  </si>
  <si>
    <t>Cost / Access</t>
  </si>
  <si>
    <t>Best overall</t>
  </si>
  <si>
    <t>Complex models, long docs, board narratives, scenario stress-testing</t>
  </si>
  <si>
    <t>Free until June 22</t>
  </si>
  <si>
    <t>Opus 4.8</t>
  </si>
  <si>
    <t>Complex tasks</t>
  </si>
  <si>
    <t>Deep analytical reasoning, multi-document synthesis</t>
  </si>
  <si>
    <t>Premium pricing</t>
  </si>
  <si>
    <t>Everyday tasks</t>
  </si>
  <si>
    <t>Quick emails, formula help, short summaries, slide copy</t>
  </si>
  <si>
    <t>Most cost-efficient</t>
  </si>
  <si>
    <t>Haiku 4.5</t>
  </si>
  <si>
    <t>Quick answers</t>
  </si>
  <si>
    <t>Simple lookups, expense classification, invoice extraction</t>
  </si>
  <si>
    <t>Cheapest &amp; fastest</t>
  </si>
  <si>
    <t>Created by Christian Martinez · The Financial Fox  |  linkedin.com/in/christianmartinezthefinancialfox  |  claude.ai</t>
  </si>
  <si>
    <t>Claude Fable 5 for Finance - The Ultimate Guide</t>
  </si>
  <si>
    <t>Some of the things you can do:</t>
  </si>
  <si>
    <t>Download this guide and learn how to use Fable 5 for Finance and FP&amp;A</t>
  </si>
  <si>
    <t>Results</t>
  </si>
  <si>
    <t>Here is our P&amp;L for the last 12 months: [paste]. Create a super aesthetic CFO dashboard that is able to decompose gross margin movement into volume, price, and mix effects quarter over quarter.</t>
  </si>
  <si>
    <t>https://claude.ai/public/artifacts/c0dcd6f5-4319-4c11-a48a-357e3b44c1ff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</si>
</sst>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6B6B6B"/>
      <name val="Arial"/>
      <family val="2"/>
    </font>
    <font>
      <b/>
      <sz val="10"/>
      <color rgb="FFFFFFFF"/>
      <name val="Arial"/>
      <family val="2"/>
    </font>
    <font>
      <b/>
      <sz val="10"/>
      <color rgb="FF1A3A5C"/>
      <name val="Arial"/>
      <family val="2"/>
    </font>
    <font>
      <sz val="10"/>
      <color rgb="FF0F0F0F"/>
      <name val="Arial"/>
      <family val="2"/>
    </font>
    <font>
      <b/>
      <sz val="9"/>
      <color rgb="FF991B1B"/>
      <name val="Arial"/>
      <family val="2"/>
    </font>
    <font>
      <i/>
      <sz val="9"/>
      <color rgb="FF1A3A5C"/>
      <name val="Arial"/>
      <family val="2"/>
    </font>
    <font>
      <i/>
      <sz val="9"/>
      <color rgb="FF6B6B6B"/>
      <name val="Arial"/>
      <family val="2"/>
    </font>
    <font>
      <b/>
      <sz val="9"/>
      <color rgb="FF8A6A1A"/>
      <name val="Arial"/>
      <family val="2"/>
    </font>
    <font>
      <b/>
      <sz val="9"/>
      <color rgb="FF1A5C3A"/>
      <name val="Arial"/>
      <family val="2"/>
    </font>
    <font>
      <b/>
      <sz val="14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F0F0F"/>
      <name val="Arial"/>
      <family val="2"/>
    </font>
    <font>
      <sz val="10"/>
      <color rgb="FF6B6B6B"/>
      <name val="Arial"/>
      <family val="2"/>
    </font>
    <font>
      <b/>
      <sz val="10"/>
      <color rgb="FF1A5C3A"/>
      <name val="Arial"/>
      <family val="2"/>
    </font>
    <font>
      <sz val="10"/>
      <color rgb="FF1A5C3A"/>
      <name val="Arial"/>
      <family val="2"/>
    </font>
    <font>
      <sz val="10"/>
      <color rgb="FF1A3A5C"/>
      <name val="Arial"/>
      <family val="2"/>
    </font>
    <font>
      <sz val="11"/>
      <color rgb="FF0F0F0F"/>
      <name val="Arial"/>
      <family val="2"/>
    </font>
    <font>
      <b/>
      <sz val="10"/>
      <color rgb="FF8A6A1A"/>
      <name val="Arial"/>
      <family val="2"/>
    </font>
    <font>
      <sz val="10"/>
      <color rgb="FF8A6A1A"/>
      <name val="Arial"/>
      <family val="2"/>
    </font>
    <font>
      <b/>
      <sz val="11"/>
      <color rgb="FFFFFFFF"/>
      <name val="Arial"/>
      <family val="2"/>
    </font>
    <font>
      <b/>
      <sz val="36"/>
      <color theme="1"/>
      <name val="Segoe UI"/>
      <family val="2"/>
    </font>
    <font>
      <sz val="18"/>
      <color theme="1"/>
      <name val="Segoe UI"/>
      <family val="2"/>
    </font>
    <font>
      <i/>
      <sz val="20"/>
      <color rgb="FFFF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2C4F72"/>
      </patternFill>
    </fill>
    <fill>
      <patternFill patternType="solid">
        <fgColor rgb="FFE8F0F8"/>
        <bgColor rgb="FFE8F5EE"/>
      </patternFill>
    </fill>
    <fill>
      <patternFill patternType="solid">
        <fgColor rgb="FFFAFAF8"/>
        <bgColor rgb="FFFFFFFF"/>
      </patternFill>
    </fill>
    <fill>
      <patternFill patternType="solid">
        <fgColor rgb="FFFEF2F2"/>
        <bgColor rgb="FFFDF6E3"/>
      </patternFill>
    </fill>
    <fill>
      <patternFill patternType="solid">
        <fgColor rgb="FFFFFFFF"/>
        <bgColor rgb="FFFAFAF8"/>
      </patternFill>
    </fill>
    <fill>
      <patternFill patternType="solid">
        <fgColor rgb="FFFDF6E3"/>
        <bgColor rgb="FFFFF3E0"/>
      </patternFill>
    </fill>
    <fill>
      <patternFill patternType="solid">
        <fgColor rgb="FFFFF3E0"/>
        <bgColor rgb="FFFDF6E3"/>
      </patternFill>
    </fill>
    <fill>
      <patternFill patternType="solid">
        <fgColor rgb="FFF3E8FF"/>
        <bgColor rgb="FFE8F0F8"/>
      </patternFill>
    </fill>
    <fill>
      <patternFill patternType="solid">
        <fgColor rgb="FFE8F5EE"/>
        <bgColor rgb="FFE8F0F8"/>
      </patternFill>
    </fill>
    <fill>
      <patternFill patternType="solid">
        <fgColor rgb="FF2C4F72"/>
        <bgColor rgb="FF1A3A5C"/>
      </patternFill>
    </fill>
    <fill>
      <patternFill patternType="solid">
        <fgColor rgb="FFE2E2DC"/>
        <bgColor rgb="FFE8F0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2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3" fontId="13" fillId="3" borderId="0" xfId="0" applyNumberFormat="1" applyFont="1" applyFill="1" applyAlignment="1">
      <alignment horizontal="right"/>
    </xf>
    <xf numFmtId="0" fontId="0" fillId="3" borderId="0" xfId="0" applyFill="1"/>
    <xf numFmtId="0" fontId="0" fillId="2" borderId="0" xfId="0" applyFill="1"/>
    <xf numFmtId="0" fontId="6" fillId="10" borderId="0" xfId="0" applyFont="1" applyFill="1"/>
    <xf numFmtId="3" fontId="14" fillId="10" borderId="0" xfId="0" applyNumberFormat="1" applyFont="1" applyFill="1" applyAlignment="1">
      <alignment horizontal="right"/>
    </xf>
    <xf numFmtId="0" fontId="15" fillId="12" borderId="0" xfId="0" applyFont="1" applyFill="1"/>
    <xf numFmtId="3" fontId="15" fillId="12" borderId="0" xfId="0" applyNumberFormat="1" applyFont="1" applyFill="1" applyAlignment="1">
      <alignment horizontal="right"/>
    </xf>
    <xf numFmtId="0" fontId="6" fillId="5" borderId="0" xfId="0" applyFont="1" applyFill="1"/>
    <xf numFmtId="3" fontId="14" fillId="5" borderId="0" xfId="0" applyNumberFormat="1" applyFont="1" applyFill="1" applyAlignment="1">
      <alignment horizontal="right"/>
    </xf>
    <xf numFmtId="0" fontId="4" fillId="11" borderId="0" xfId="0" applyFont="1" applyFill="1" applyAlignment="1">
      <alignment horizontal="left" vertical="center"/>
    </xf>
    <xf numFmtId="3" fontId="4" fillId="11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15" fillId="6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right"/>
    </xf>
    <xf numFmtId="164" fontId="6" fillId="6" borderId="0" xfId="0" applyNumberFormat="1" applyFont="1" applyFill="1" applyAlignment="1">
      <alignment horizontal="right"/>
    </xf>
    <xf numFmtId="3" fontId="6" fillId="6" borderId="0" xfId="0" applyNumberFormat="1" applyFont="1" applyFill="1" applyAlignment="1">
      <alignment horizontal="right"/>
    </xf>
    <xf numFmtId="0" fontId="15" fillId="3" borderId="0" xfId="0" applyFont="1" applyFill="1" applyAlignment="1">
      <alignment horizontal="left" vertical="center"/>
    </xf>
    <xf numFmtId="3" fontId="14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right"/>
    </xf>
    <xf numFmtId="3" fontId="16" fillId="3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6" fillId="3" borderId="0" xfId="0" applyFont="1" applyFill="1"/>
    <xf numFmtId="0" fontId="4" fillId="2" borderId="0" xfId="0" applyFont="1" applyFill="1"/>
    <xf numFmtId="0" fontId="6" fillId="7" borderId="0" xfId="0" applyFont="1" applyFill="1"/>
    <xf numFmtId="3" fontId="14" fillId="7" borderId="0" xfId="0" applyNumberFormat="1" applyFont="1" applyFill="1" applyAlignment="1">
      <alignment horizontal="right"/>
    </xf>
    <xf numFmtId="0" fontId="15" fillId="10" borderId="0" xfId="0" applyFont="1" applyFill="1"/>
    <xf numFmtId="3" fontId="17" fillId="10" borderId="0" xfId="0" applyNumberFormat="1" applyFont="1" applyFill="1" applyAlignment="1">
      <alignment horizontal="right"/>
    </xf>
    <xf numFmtId="164" fontId="18" fillId="10" borderId="0" xfId="0" applyNumberFormat="1" applyFont="1" applyFill="1" applyAlignment="1">
      <alignment horizontal="right"/>
    </xf>
    <xf numFmtId="0" fontId="15" fillId="3" borderId="0" xfId="0" applyFont="1" applyFill="1"/>
    <xf numFmtId="3" fontId="5" fillId="3" borderId="0" xfId="0" applyNumberFormat="1" applyFont="1" applyFill="1" applyAlignment="1">
      <alignment horizontal="right"/>
    </xf>
    <xf numFmtId="164" fontId="19" fillId="3" borderId="0" xfId="0" applyNumberFormat="1" applyFont="1" applyFill="1" applyAlignment="1">
      <alignment horizontal="right"/>
    </xf>
    <xf numFmtId="0" fontId="6" fillId="6" borderId="0" xfId="0" applyFont="1" applyFill="1"/>
    <xf numFmtId="0" fontId="6" fillId="4" borderId="0" xfId="0" applyFont="1" applyFill="1"/>
    <xf numFmtId="3" fontId="14" fillId="4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0" fontId="2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2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164" fontId="15" fillId="12" borderId="0" xfId="0" applyNumberFormat="1" applyFont="1" applyFill="1" applyAlignment="1">
      <alignment horizontal="right"/>
    </xf>
    <xf numFmtId="0" fontId="0" fillId="12" borderId="0" xfId="0" applyFill="1"/>
    <xf numFmtId="0" fontId="17" fillId="10" borderId="0" xfId="0" applyFont="1" applyFill="1"/>
    <xf numFmtId="164" fontId="17" fillId="10" borderId="0" xfId="0" applyNumberFormat="1" applyFont="1" applyFill="1" applyAlignment="1">
      <alignment horizontal="right"/>
    </xf>
    <xf numFmtId="0" fontId="0" fillId="10" borderId="0" xfId="0" applyFill="1"/>
    <xf numFmtId="0" fontId="5" fillId="3" borderId="0" xfId="0" applyFont="1" applyFill="1"/>
    <xf numFmtId="164" fontId="5" fillId="3" borderId="0" xfId="0" applyNumberFormat="1" applyFont="1" applyFill="1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24" fillId="0" borderId="0" xfId="1" applyFont="1"/>
    <xf numFmtId="0" fontId="1" fillId="0" borderId="0" xfId="1"/>
    <xf numFmtId="0" fontId="25" fillId="0" borderId="0" xfId="1" applyFont="1"/>
    <xf numFmtId="0" fontId="6" fillId="6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6" fillId="0" borderId="0" xfId="1" applyFont="1"/>
  </cellXfs>
  <cellStyles count="2">
    <cellStyle name="Normal" xfId="0" builtinId="0"/>
    <cellStyle name="Normal 2" xfId="1" xr:uid="{94C03064-E0B2-4725-9BB3-88AEFBD2199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1A"/>
      <rgbColor rgb="FF800080"/>
      <rgbColor rgb="FF008080"/>
      <rgbColor rgb="FFFEF2F2"/>
      <rgbColor rgb="FF808080"/>
      <rgbColor rgb="FF9999FF"/>
      <rgbColor rgb="FF993366"/>
      <rgbColor rgb="FFFDF6E3"/>
      <rgbColor rgb="FFE8F5EE"/>
      <rgbColor rgb="FF660066"/>
      <rgbColor rgb="FFFF8080"/>
      <rgbColor rgb="FF0066CC"/>
      <rgbColor rgb="FFE2E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FAFAF8"/>
      <rgbColor rgb="FFFFF3E0"/>
      <rgbColor rgb="FF99CCFF"/>
      <rgbColor rgb="FFFF99CC"/>
      <rgbColor rgb="FFCC99FF"/>
      <rgbColor rgb="FFF3E8FF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A3A5C"/>
      <rgbColor rgb="FF339966"/>
      <rgbColor rgb="FF0F0F0F"/>
      <rgbColor rgb="FF333300"/>
      <rgbColor rgb="FF991B1B"/>
      <rgbColor rgb="FF993366"/>
      <rgbColor rgb="FF2C4F72"/>
      <rgbColor rgb="FF1A5C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3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3</xdr:row>
      <xdr:rowOff>106680</xdr:rowOff>
    </xdr:from>
    <xdr:to>
      <xdr:col>9</xdr:col>
      <xdr:colOff>404307</xdr:colOff>
      <xdr:row>22</xdr:row>
      <xdr:rowOff>114632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A4814-63D7-420D-9903-12EDEAC3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1135380"/>
          <a:ext cx="5159187" cy="3833192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121921</xdr:colOff>
      <xdr:row>5</xdr:row>
      <xdr:rowOff>110496</xdr:rowOff>
    </xdr:from>
    <xdr:to>
      <xdr:col>15</xdr:col>
      <xdr:colOff>295107</xdr:colOff>
      <xdr:row>20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C55B29-91B5-3484-93F2-83CC400C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9781" y="1664976"/>
          <a:ext cx="3221186" cy="2693664"/>
        </a:xfrm>
        <a:prstGeom prst="rect">
          <a:avLst/>
        </a:prstGeom>
      </xdr:spPr>
    </xdr:pic>
    <xdr:clientData/>
  </xdr:twoCellAnchor>
  <xdr:twoCellAnchor editAs="oneCell">
    <xdr:from>
      <xdr:col>16</xdr:col>
      <xdr:colOff>472440</xdr:colOff>
      <xdr:row>3</xdr:row>
      <xdr:rowOff>15240</xdr:rowOff>
    </xdr:from>
    <xdr:to>
      <xdr:col>22</xdr:col>
      <xdr:colOff>95309</xdr:colOff>
      <xdr:row>20</xdr:row>
      <xdr:rowOff>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7E26EE-B408-8D18-1327-D8B0FACF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7900" y="1043940"/>
          <a:ext cx="3280469" cy="3254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9</xdr:col>
      <xdr:colOff>290054</xdr:colOff>
      <xdr:row>17</xdr:row>
      <xdr:rowOff>38365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2AA94-1F40-FCA9-FE10-1581A01CD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"/>
          <a:ext cx="5700254" cy="30635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137160</xdr:rowOff>
    </xdr:from>
    <xdr:to>
      <xdr:col>10</xdr:col>
      <xdr:colOff>343458</xdr:colOff>
      <xdr:row>48</xdr:row>
      <xdr:rowOff>91927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D3C81F-455E-C5CA-A86B-036F1B849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46120"/>
          <a:ext cx="6439458" cy="5624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10</xdr:col>
      <xdr:colOff>312975</xdr:colOff>
      <xdr:row>26</xdr:row>
      <xdr:rowOff>152823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CA701-9E7D-470A-21FA-B538504E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6408975" cy="4884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312420</xdr:colOff>
      <xdr:row>4</xdr:row>
      <xdr:rowOff>152400</xdr:rowOff>
    </xdr:from>
    <xdr:to>
      <xdr:col>1</xdr:col>
      <xdr:colOff>4226730</xdr:colOff>
      <xdr:row>23</xdr:row>
      <xdr:rowOff>61406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8B5AB-53B6-FAC7-43AF-FFBB8D75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853440"/>
          <a:ext cx="3914310" cy="3383726"/>
        </a:xfrm>
        <a:prstGeom prst="rect">
          <a:avLst/>
        </a:prstGeom>
      </xdr:spPr>
    </xdr:pic>
    <xdr:clientData/>
  </xdr:twoCellAnchor>
  <xdr:twoCellAnchor editAs="oneCell">
    <xdr:from>
      <xdr:col>3</xdr:col>
      <xdr:colOff>5768148</xdr:colOff>
      <xdr:row>2</xdr:row>
      <xdr:rowOff>257257</xdr:rowOff>
    </xdr:from>
    <xdr:to>
      <xdr:col>11</xdr:col>
      <xdr:colOff>580144</xdr:colOff>
      <xdr:row>21</xdr:row>
      <xdr:rowOff>20804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38044F-ADB7-0506-8645-2144664B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4891" y="1171657"/>
          <a:ext cx="6176682" cy="3636140"/>
        </a:xfrm>
        <a:prstGeom prst="rect">
          <a:avLst/>
        </a:prstGeom>
      </xdr:spPr>
    </xdr:pic>
    <xdr:clientData/>
  </xdr:twoCellAnchor>
  <xdr:twoCellAnchor editAs="oneCell">
    <xdr:from>
      <xdr:col>2</xdr:col>
      <xdr:colOff>570539</xdr:colOff>
      <xdr:row>2</xdr:row>
      <xdr:rowOff>67874</xdr:rowOff>
    </xdr:from>
    <xdr:to>
      <xdr:col>3</xdr:col>
      <xdr:colOff>5324017</xdr:colOff>
      <xdr:row>25</xdr:row>
      <xdr:rowOff>86056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AC7A38-A579-BCE2-AAFA-7918B27AB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7682" y="982274"/>
          <a:ext cx="5363078" cy="463100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33</xdr:row>
      <xdr:rowOff>95250</xdr:rowOff>
    </xdr:from>
    <xdr:to>
      <xdr:col>1</xdr:col>
      <xdr:colOff>4530481</xdr:colOff>
      <xdr:row>53</xdr:row>
      <xdr:rowOff>141304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E05A8D-DA7E-2169-B106-F50A6581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7372350"/>
          <a:ext cx="4511431" cy="3856054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27</xdr:row>
      <xdr:rowOff>169426</xdr:rowOff>
    </xdr:from>
    <xdr:to>
      <xdr:col>3</xdr:col>
      <xdr:colOff>6057900</xdr:colOff>
      <xdr:row>56</xdr:row>
      <xdr:rowOff>179645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90E482-6BCB-0F48-FF2C-4F0A6886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50" y="6208276"/>
          <a:ext cx="5886450" cy="5839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B2F3-D246-4F69-92DD-395C90F7E817}">
  <sheetPr>
    <tabColor theme="3" tint="0.249977111117893"/>
  </sheetPr>
  <dimension ref="B3:K22"/>
  <sheetViews>
    <sheetView showGridLines="0" tabSelected="1" zoomScaleNormal="100" workbookViewId="0">
      <selection activeCell="W2" sqref="W2"/>
    </sheetView>
  </sheetViews>
  <sheetFormatPr defaultRowHeight="14.4" x14ac:dyDescent="0.3"/>
  <cols>
    <col min="1" max="1" width="0.88671875" style="84" customWidth="1"/>
    <col min="2" max="16384" width="8.88671875" style="84"/>
  </cols>
  <sheetData>
    <row r="3" spans="2:11" ht="52.2" x14ac:dyDescent="1.1000000000000001">
      <c r="B3" s="83" t="s">
        <v>233</v>
      </c>
    </row>
    <row r="5" spans="2:11" ht="27" x14ac:dyDescent="0.6">
      <c r="K5" s="85" t="s">
        <v>234</v>
      </c>
    </row>
    <row r="22" spans="11:11" ht="29.4" x14ac:dyDescent="0.65">
      <c r="K22" s="93" t="s">
        <v>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D7FB-4136-4DCA-9B9D-BB6BD3E9F5DD}">
  <sheetPr>
    <tabColor theme="3" tint="0.79998168889431442"/>
  </sheetPr>
  <dimension ref="K2"/>
  <sheetViews>
    <sheetView showGridLines="0" zoomScale="40" zoomScaleNormal="40" workbookViewId="0">
      <selection activeCell="AE41" sqref="AE41"/>
    </sheetView>
  </sheetViews>
  <sheetFormatPr defaultRowHeight="14.4" x14ac:dyDescent="0.3"/>
  <sheetData>
    <row r="2" spans="11:11" x14ac:dyDescent="0.3">
      <c r="K2" t="s">
        <v>238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44B6-0CA4-4940-BB0C-FCAAD6721E52}">
  <sheetPr>
    <tabColor theme="3" tint="0.79998168889431442"/>
  </sheetPr>
  <dimension ref="A1"/>
  <sheetViews>
    <sheetView showGridLines="0" workbookViewId="0">
      <selection activeCell="AE41" sqref="AE4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F34"/>
  <sheetViews>
    <sheetView showGridLines="0" zoomScaleNormal="100" workbookViewId="0">
      <pane ySplit="3" topLeftCell="A17" activePane="bottomLeft" state="frozen"/>
      <selection activeCell="AE41" sqref="AE41"/>
      <selection pane="bottomLeft" activeCell="AE41" sqref="AE41"/>
    </sheetView>
  </sheetViews>
  <sheetFormatPr defaultColWidth="8.6640625" defaultRowHeight="14.4" x14ac:dyDescent="0.3"/>
  <cols>
    <col min="1" max="1" width="5" customWidth="1"/>
    <col min="2" max="2" width="22" customWidth="1"/>
    <col min="3" max="3" width="62" customWidth="1"/>
    <col min="4" max="4" width="14" customWidth="1"/>
    <col min="5" max="5" width="22" customWidth="1"/>
    <col min="6" max="6" width="28" customWidth="1"/>
  </cols>
  <sheetData>
    <row r="1" spans="1:6" ht="36" customHeight="1" x14ac:dyDescent="0.3">
      <c r="A1" s="87" t="s">
        <v>0</v>
      </c>
      <c r="B1" s="87"/>
      <c r="C1" s="87"/>
      <c r="D1" s="87"/>
      <c r="E1" s="87"/>
      <c r="F1" s="87"/>
    </row>
    <row r="2" spans="1:6" ht="21.75" customHeight="1" x14ac:dyDescent="0.3">
      <c r="A2" s="88" t="s">
        <v>1</v>
      </c>
      <c r="B2" s="88"/>
      <c r="C2" s="88"/>
      <c r="D2" s="88"/>
      <c r="E2" s="88"/>
      <c r="F2" s="88"/>
    </row>
    <row r="3" spans="1:6" ht="6" customHeight="1" x14ac:dyDescent="0.3"/>
    <row r="4" spans="1:6" ht="21.7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51.75" customHeight="1" x14ac:dyDescent="0.3">
      <c r="A5" s="3">
        <v>1</v>
      </c>
      <c r="B5" s="4" t="s">
        <v>8</v>
      </c>
      <c r="C5" s="5" t="s">
        <v>9</v>
      </c>
      <c r="D5" s="6" t="s">
        <v>10</v>
      </c>
      <c r="E5" s="7" t="s">
        <v>11</v>
      </c>
      <c r="F5" s="8" t="s">
        <v>12</v>
      </c>
    </row>
    <row r="6" spans="1:6" ht="51.75" customHeight="1" x14ac:dyDescent="0.3">
      <c r="A6" s="9">
        <v>2</v>
      </c>
      <c r="B6" s="4" t="s">
        <v>8</v>
      </c>
      <c r="C6" s="10" t="s">
        <v>13</v>
      </c>
      <c r="D6" s="11" t="s">
        <v>14</v>
      </c>
      <c r="E6" s="12" t="s">
        <v>15</v>
      </c>
      <c r="F6" s="13" t="s">
        <v>16</v>
      </c>
    </row>
    <row r="7" spans="1:6" ht="51.75" customHeight="1" x14ac:dyDescent="0.3">
      <c r="A7" s="3">
        <v>3</v>
      </c>
      <c r="B7" s="4" t="s">
        <v>8</v>
      </c>
      <c r="C7" s="5" t="s">
        <v>17</v>
      </c>
      <c r="D7" s="11" t="s">
        <v>14</v>
      </c>
      <c r="E7" s="7" t="s">
        <v>11</v>
      </c>
      <c r="F7" s="8" t="s">
        <v>18</v>
      </c>
    </row>
    <row r="8" spans="1:6" ht="51.75" customHeight="1" x14ac:dyDescent="0.3">
      <c r="A8" s="9">
        <v>4</v>
      </c>
      <c r="B8" s="4" t="s">
        <v>8</v>
      </c>
      <c r="C8" s="10" t="s">
        <v>19</v>
      </c>
      <c r="D8" s="11" t="s">
        <v>14</v>
      </c>
      <c r="E8" s="12" t="s">
        <v>20</v>
      </c>
      <c r="F8" s="13" t="s">
        <v>21</v>
      </c>
    </row>
    <row r="9" spans="1:6" ht="51.75" customHeight="1" x14ac:dyDescent="0.3">
      <c r="A9" s="3">
        <v>5</v>
      </c>
      <c r="B9" s="4" t="s">
        <v>8</v>
      </c>
      <c r="C9" s="5" t="s">
        <v>22</v>
      </c>
      <c r="D9" s="6" t="s">
        <v>10</v>
      </c>
      <c r="E9" s="7" t="s">
        <v>11</v>
      </c>
      <c r="F9" s="8" t="s">
        <v>23</v>
      </c>
    </row>
    <row r="10" spans="1:6" ht="51.75" customHeight="1" x14ac:dyDescent="0.3">
      <c r="A10" s="9">
        <v>6</v>
      </c>
      <c r="B10" s="4" t="s">
        <v>8</v>
      </c>
      <c r="C10" s="10" t="s">
        <v>24</v>
      </c>
      <c r="D10" s="11" t="s">
        <v>14</v>
      </c>
      <c r="E10" s="12" t="s">
        <v>11</v>
      </c>
      <c r="F10" s="13" t="s">
        <v>25</v>
      </c>
    </row>
    <row r="11" spans="1:6" ht="51.75" customHeight="1" x14ac:dyDescent="0.3">
      <c r="A11" s="3">
        <v>7</v>
      </c>
      <c r="B11" s="14" t="s">
        <v>26</v>
      </c>
      <c r="C11" s="5" t="s">
        <v>27</v>
      </c>
      <c r="D11" s="6" t="s">
        <v>10</v>
      </c>
      <c r="E11" s="7" t="s">
        <v>11</v>
      </c>
      <c r="F11" s="8" t="s">
        <v>28</v>
      </c>
    </row>
    <row r="12" spans="1:6" ht="51.75" customHeight="1" x14ac:dyDescent="0.3">
      <c r="A12" s="9">
        <v>8</v>
      </c>
      <c r="B12" s="14" t="s">
        <v>26</v>
      </c>
      <c r="C12" s="10" t="s">
        <v>237</v>
      </c>
      <c r="D12" s="6" t="s">
        <v>10</v>
      </c>
      <c r="E12" s="12" t="s">
        <v>11</v>
      </c>
      <c r="F12" s="13" t="s">
        <v>23</v>
      </c>
    </row>
    <row r="13" spans="1:6" ht="51.75" customHeight="1" x14ac:dyDescent="0.3">
      <c r="A13" s="3">
        <v>9</v>
      </c>
      <c r="B13" s="14" t="s">
        <v>26</v>
      </c>
      <c r="C13" s="5" t="s">
        <v>29</v>
      </c>
      <c r="D13" s="11" t="s">
        <v>14</v>
      </c>
      <c r="E13" s="7" t="s">
        <v>11</v>
      </c>
      <c r="F13" s="8" t="s">
        <v>30</v>
      </c>
    </row>
    <row r="14" spans="1:6" ht="51.75" customHeight="1" x14ac:dyDescent="0.3">
      <c r="A14" s="9">
        <v>10</v>
      </c>
      <c r="B14" s="14" t="s">
        <v>26</v>
      </c>
      <c r="C14" s="10" t="s">
        <v>31</v>
      </c>
      <c r="D14" s="11" t="s">
        <v>14</v>
      </c>
      <c r="E14" s="12" t="s">
        <v>11</v>
      </c>
      <c r="F14" s="13" t="s">
        <v>28</v>
      </c>
    </row>
    <row r="15" spans="1:6" ht="51.75" customHeight="1" x14ac:dyDescent="0.3">
      <c r="A15" s="3">
        <v>11</v>
      </c>
      <c r="B15" s="14" t="s">
        <v>26</v>
      </c>
      <c r="C15" s="5" t="s">
        <v>32</v>
      </c>
      <c r="D15" s="6" t="s">
        <v>10</v>
      </c>
      <c r="E15" s="7" t="s">
        <v>11</v>
      </c>
      <c r="F15" s="8" t="s">
        <v>33</v>
      </c>
    </row>
    <row r="16" spans="1:6" ht="51.75" customHeight="1" x14ac:dyDescent="0.3">
      <c r="A16" s="9">
        <v>12</v>
      </c>
      <c r="B16" s="15" t="s">
        <v>34</v>
      </c>
      <c r="C16" s="10" t="s">
        <v>35</v>
      </c>
      <c r="D16" s="11" t="s">
        <v>14</v>
      </c>
      <c r="E16" s="12" t="s">
        <v>20</v>
      </c>
      <c r="F16" s="13" t="s">
        <v>36</v>
      </c>
    </row>
    <row r="17" spans="1:6" ht="51.75" customHeight="1" x14ac:dyDescent="0.3">
      <c r="A17" s="3">
        <v>13</v>
      </c>
      <c r="B17" s="15" t="s">
        <v>34</v>
      </c>
      <c r="C17" s="5" t="s">
        <v>37</v>
      </c>
      <c r="D17" s="11" t="s">
        <v>14</v>
      </c>
      <c r="E17" s="7" t="s">
        <v>20</v>
      </c>
      <c r="F17" s="8" t="s">
        <v>38</v>
      </c>
    </row>
    <row r="18" spans="1:6" ht="51.75" customHeight="1" x14ac:dyDescent="0.3">
      <c r="A18" s="9">
        <v>14</v>
      </c>
      <c r="B18" s="15" t="s">
        <v>34</v>
      </c>
      <c r="C18" s="10" t="s">
        <v>39</v>
      </c>
      <c r="D18" s="11" t="s">
        <v>14</v>
      </c>
      <c r="E18" s="12" t="s">
        <v>11</v>
      </c>
      <c r="F18" s="13" t="s">
        <v>40</v>
      </c>
    </row>
    <row r="19" spans="1:6" ht="51.75" customHeight="1" x14ac:dyDescent="0.3">
      <c r="A19" s="3">
        <v>15</v>
      </c>
      <c r="B19" s="15" t="s">
        <v>34</v>
      </c>
      <c r="C19" s="5" t="s">
        <v>41</v>
      </c>
      <c r="D19" s="11" t="s">
        <v>14</v>
      </c>
      <c r="E19" s="7" t="s">
        <v>20</v>
      </c>
      <c r="F19" s="8" t="s">
        <v>42</v>
      </c>
    </row>
    <row r="20" spans="1:6" ht="51.75" customHeight="1" x14ac:dyDescent="0.3">
      <c r="A20" s="9">
        <v>16</v>
      </c>
      <c r="B20" s="15" t="s">
        <v>34</v>
      </c>
      <c r="C20" s="10" t="s">
        <v>43</v>
      </c>
      <c r="D20" s="11" t="s">
        <v>14</v>
      </c>
      <c r="E20" s="12" t="s">
        <v>11</v>
      </c>
      <c r="F20" s="13" t="s">
        <v>44</v>
      </c>
    </row>
    <row r="21" spans="1:6" ht="51.75" customHeight="1" x14ac:dyDescent="0.3">
      <c r="A21" s="3">
        <v>17</v>
      </c>
      <c r="B21" s="15" t="s">
        <v>34</v>
      </c>
      <c r="C21" s="5" t="s">
        <v>45</v>
      </c>
      <c r="D21" s="6" t="s">
        <v>10</v>
      </c>
      <c r="E21" s="7" t="s">
        <v>11</v>
      </c>
      <c r="F21" s="8" t="s">
        <v>46</v>
      </c>
    </row>
    <row r="22" spans="1:6" ht="51.75" customHeight="1" x14ac:dyDescent="0.3">
      <c r="A22" s="9">
        <v>18</v>
      </c>
      <c r="B22" s="16" t="s">
        <v>47</v>
      </c>
      <c r="C22" s="10" t="s">
        <v>48</v>
      </c>
      <c r="D22" s="11" t="s">
        <v>14</v>
      </c>
      <c r="E22" s="12" t="s">
        <v>11</v>
      </c>
      <c r="F22" s="13" t="s">
        <v>23</v>
      </c>
    </row>
    <row r="23" spans="1:6" ht="51.75" customHeight="1" x14ac:dyDescent="0.3">
      <c r="A23" s="3">
        <v>19</v>
      </c>
      <c r="B23" s="16" t="s">
        <v>47</v>
      </c>
      <c r="C23" s="5" t="s">
        <v>49</v>
      </c>
      <c r="D23" s="11" t="s">
        <v>14</v>
      </c>
      <c r="E23" s="7" t="s">
        <v>11</v>
      </c>
      <c r="F23" s="8" t="s">
        <v>50</v>
      </c>
    </row>
    <row r="24" spans="1:6" ht="51.75" customHeight="1" x14ac:dyDescent="0.3">
      <c r="A24" s="9">
        <v>20</v>
      </c>
      <c r="B24" s="16" t="s">
        <v>47</v>
      </c>
      <c r="C24" s="10" t="s">
        <v>51</v>
      </c>
      <c r="D24" s="11" t="s">
        <v>14</v>
      </c>
      <c r="E24" s="12" t="s">
        <v>11</v>
      </c>
      <c r="F24" s="13" t="s">
        <v>52</v>
      </c>
    </row>
    <row r="25" spans="1:6" ht="51.75" customHeight="1" x14ac:dyDescent="0.3">
      <c r="A25" s="3">
        <v>21</v>
      </c>
      <c r="B25" s="16" t="s">
        <v>47</v>
      </c>
      <c r="C25" s="5" t="s">
        <v>53</v>
      </c>
      <c r="D25" s="17" t="s">
        <v>54</v>
      </c>
      <c r="E25" s="7" t="s">
        <v>20</v>
      </c>
      <c r="F25" s="8" t="s">
        <v>23</v>
      </c>
    </row>
    <row r="26" spans="1:6" ht="51.75" customHeight="1" x14ac:dyDescent="0.3">
      <c r="A26" s="9">
        <v>22</v>
      </c>
      <c r="B26" s="16" t="s">
        <v>47</v>
      </c>
      <c r="C26" s="10" t="s">
        <v>55</v>
      </c>
      <c r="D26" s="17" t="s">
        <v>54</v>
      </c>
      <c r="E26" s="12" t="s">
        <v>20</v>
      </c>
      <c r="F26" s="13" t="s">
        <v>56</v>
      </c>
    </row>
    <row r="27" spans="1:6" ht="51.75" customHeight="1" x14ac:dyDescent="0.3">
      <c r="A27" s="3">
        <v>23</v>
      </c>
      <c r="B27" s="16" t="s">
        <v>47</v>
      </c>
      <c r="C27" s="5" t="s">
        <v>57</v>
      </c>
      <c r="D27" s="11" t="s">
        <v>14</v>
      </c>
      <c r="E27" s="7" t="s">
        <v>11</v>
      </c>
      <c r="F27" s="8" t="s">
        <v>58</v>
      </c>
    </row>
    <row r="28" spans="1:6" ht="51.75" customHeight="1" x14ac:dyDescent="0.3">
      <c r="A28" s="9">
        <v>24</v>
      </c>
      <c r="B28" s="18" t="s">
        <v>59</v>
      </c>
      <c r="C28" s="10" t="s">
        <v>60</v>
      </c>
      <c r="D28" s="6" t="s">
        <v>10</v>
      </c>
      <c r="E28" s="12" t="s">
        <v>11</v>
      </c>
      <c r="F28" s="13" t="s">
        <v>61</v>
      </c>
    </row>
    <row r="29" spans="1:6" ht="51.75" customHeight="1" x14ac:dyDescent="0.3">
      <c r="A29" s="3">
        <v>25</v>
      </c>
      <c r="B29" s="18" t="s">
        <v>59</v>
      </c>
      <c r="C29" s="5" t="s">
        <v>62</v>
      </c>
      <c r="D29" s="6" t="s">
        <v>10</v>
      </c>
      <c r="E29" s="7" t="s">
        <v>11</v>
      </c>
      <c r="F29" s="8" t="s">
        <v>63</v>
      </c>
    </row>
    <row r="30" spans="1:6" ht="51.75" customHeight="1" x14ac:dyDescent="0.3">
      <c r="A30" s="9">
        <v>26</v>
      </c>
      <c r="B30" s="18" t="s">
        <v>59</v>
      </c>
      <c r="C30" s="10" t="s">
        <v>64</v>
      </c>
      <c r="D30" s="6" t="s">
        <v>10</v>
      </c>
      <c r="E30" s="12" t="s">
        <v>11</v>
      </c>
      <c r="F30" s="13" t="s">
        <v>16</v>
      </c>
    </row>
    <row r="31" spans="1:6" ht="51.75" customHeight="1" x14ac:dyDescent="0.3">
      <c r="A31" s="3">
        <v>27</v>
      </c>
      <c r="B31" s="18" t="s">
        <v>59</v>
      </c>
      <c r="C31" s="5" t="s">
        <v>65</v>
      </c>
      <c r="D31" s="6" t="s">
        <v>10</v>
      </c>
      <c r="E31" s="7" t="s">
        <v>11</v>
      </c>
      <c r="F31" s="8" t="s">
        <v>66</v>
      </c>
    </row>
    <row r="32" spans="1:6" ht="51.75" customHeight="1" x14ac:dyDescent="0.3">
      <c r="A32" s="9">
        <v>28</v>
      </c>
      <c r="B32" s="18" t="s">
        <v>59</v>
      </c>
      <c r="C32" s="10" t="s">
        <v>67</v>
      </c>
      <c r="D32" s="6" t="s">
        <v>10</v>
      </c>
      <c r="E32" s="12" t="s">
        <v>11</v>
      </c>
      <c r="F32" s="13" t="s">
        <v>68</v>
      </c>
    </row>
    <row r="33" spans="1:6" ht="51.75" customHeight="1" x14ac:dyDescent="0.3">
      <c r="A33" s="3">
        <v>29</v>
      </c>
      <c r="B33" s="19" t="s">
        <v>69</v>
      </c>
      <c r="C33" s="5" t="s">
        <v>70</v>
      </c>
      <c r="D33" s="11" t="s">
        <v>14</v>
      </c>
      <c r="E33" s="7" t="s">
        <v>11</v>
      </c>
      <c r="F33" s="8" t="s">
        <v>71</v>
      </c>
    </row>
    <row r="34" spans="1:6" ht="51.75" customHeight="1" x14ac:dyDescent="0.3">
      <c r="A34" s="9">
        <v>30</v>
      </c>
      <c r="B34" s="19" t="s">
        <v>69</v>
      </c>
      <c r="C34" s="10" t="s">
        <v>72</v>
      </c>
      <c r="D34" s="6" t="s">
        <v>10</v>
      </c>
      <c r="E34" s="12" t="s">
        <v>11</v>
      </c>
      <c r="F34" s="13" t="s">
        <v>73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526C-7798-4247-AF49-FCD0E00C48A9}">
  <sheetPr>
    <tabColor theme="3" tint="0.79998168889431442"/>
  </sheetPr>
  <dimension ref="B2:E31"/>
  <sheetViews>
    <sheetView showGridLines="0" zoomScale="40" zoomScaleNormal="40" workbookViewId="0">
      <selection activeCell="AE41" sqref="AE41"/>
    </sheetView>
  </sheetViews>
  <sheetFormatPr defaultRowHeight="14.4" x14ac:dyDescent="0.3"/>
  <cols>
    <col min="2" max="2" width="78.33203125" customWidth="1"/>
    <col min="4" max="4" width="103.5546875" customWidth="1"/>
  </cols>
  <sheetData>
    <row r="2" spans="2:5" ht="57.6" customHeight="1" x14ac:dyDescent="1.1000000000000001">
      <c r="B2" s="83" t="s">
        <v>4</v>
      </c>
      <c r="C2" s="83"/>
      <c r="D2" s="83" t="s">
        <v>236</v>
      </c>
      <c r="E2" s="83"/>
    </row>
    <row r="3" spans="2:5" ht="43.2" customHeight="1" x14ac:dyDescent="0.3">
      <c r="B3" s="86" t="s">
        <v>13</v>
      </c>
    </row>
    <row r="31" spans="2:2" ht="39.6" x14ac:dyDescent="0.3">
      <c r="B31" s="86" t="s">
        <v>237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16B1-00AC-4C36-B0CD-936769E2E2C0}">
  <sheetPr>
    <tabColor theme="9" tint="0.79998168889431442"/>
  </sheetPr>
  <dimension ref="A1"/>
  <sheetViews>
    <sheetView showGridLines="0" view="pageBreakPreview" zoomScale="60" zoomScaleNormal="100" workbookViewId="0">
      <selection sqref="A1:I1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N2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28" customWidth="1"/>
    <col min="2" max="14" width="11" customWidth="1"/>
  </cols>
  <sheetData>
    <row r="1" spans="1:14" ht="31.5" customHeight="1" x14ac:dyDescent="0.3">
      <c r="A1" s="89" t="s">
        <v>74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18" customHeight="1" x14ac:dyDescent="0.3">
      <c r="A2" s="90" t="s">
        <v>75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4" spans="1:14" ht="21.75" customHeight="1" x14ac:dyDescent="0.3">
      <c r="A4" s="20" t="s">
        <v>76</v>
      </c>
      <c r="B4" s="21" t="s">
        <v>77</v>
      </c>
      <c r="C4" s="21" t="s">
        <v>78</v>
      </c>
      <c r="D4" s="21" t="s">
        <v>79</v>
      </c>
      <c r="E4" s="21" t="s">
        <v>80</v>
      </c>
      <c r="F4" s="21" t="s">
        <v>81</v>
      </c>
      <c r="G4" s="21" t="s">
        <v>82</v>
      </c>
      <c r="H4" s="21" t="s">
        <v>83</v>
      </c>
      <c r="I4" s="21" t="s">
        <v>84</v>
      </c>
      <c r="J4" s="21" t="s">
        <v>85</v>
      </c>
      <c r="K4" s="21" t="s">
        <v>86</v>
      </c>
      <c r="L4" s="21" t="s">
        <v>87</v>
      </c>
      <c r="M4" s="21" t="s">
        <v>88</v>
      </c>
      <c r="N4" s="21" t="s">
        <v>89</v>
      </c>
    </row>
    <row r="5" spans="1:14" ht="19.5" customHeight="1" x14ac:dyDescent="0.3">
      <c r="A5" s="22" t="s">
        <v>90</v>
      </c>
      <c r="B5" s="23">
        <v>2400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9.5" customHeight="1" x14ac:dyDescent="0.3">
      <c r="A6" s="20" t="s">
        <v>91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18" customHeight="1" x14ac:dyDescent="0.3">
      <c r="A7" s="26" t="s">
        <v>92</v>
      </c>
      <c r="B7" s="27">
        <v>1420</v>
      </c>
      <c r="C7" s="27">
        <v>1380</v>
      </c>
      <c r="D7" s="27">
        <v>1650</v>
      </c>
      <c r="E7" s="27">
        <v>1290</v>
      </c>
      <c r="F7" s="27">
        <v>1510</v>
      </c>
      <c r="G7" s="27">
        <v>1470</v>
      </c>
      <c r="H7" s="27">
        <v>1680</v>
      </c>
      <c r="I7" s="27">
        <v>1350</v>
      </c>
      <c r="J7" s="27">
        <v>1590</v>
      </c>
      <c r="K7" s="27">
        <v>1420</v>
      </c>
      <c r="L7" s="27">
        <v>1700</v>
      </c>
      <c r="M7" s="27">
        <v>1460</v>
      </c>
      <c r="N7" s="27">
        <v>1530</v>
      </c>
    </row>
    <row r="8" spans="1:14" ht="18" customHeight="1" x14ac:dyDescent="0.3">
      <c r="A8" s="26" t="s">
        <v>93</v>
      </c>
      <c r="B8" s="27">
        <v>12</v>
      </c>
      <c r="C8" s="27">
        <v>12</v>
      </c>
      <c r="D8" s="27">
        <v>12</v>
      </c>
      <c r="E8" s="27">
        <v>12</v>
      </c>
      <c r="F8" s="27">
        <v>12</v>
      </c>
      <c r="G8" s="27">
        <v>12</v>
      </c>
      <c r="H8" s="27">
        <v>12</v>
      </c>
      <c r="I8" s="27">
        <v>12</v>
      </c>
      <c r="J8" s="27">
        <v>12</v>
      </c>
      <c r="K8" s="27">
        <v>12</v>
      </c>
      <c r="L8" s="27">
        <v>12</v>
      </c>
      <c r="M8" s="27">
        <v>12</v>
      </c>
      <c r="N8" s="27">
        <v>12</v>
      </c>
    </row>
    <row r="9" spans="1:14" ht="18" customHeight="1" x14ac:dyDescent="0.3">
      <c r="A9" s="26" t="s">
        <v>94</v>
      </c>
      <c r="B9" s="27">
        <v>0</v>
      </c>
      <c r="C9" s="27">
        <v>50</v>
      </c>
      <c r="D9" s="27">
        <v>0</v>
      </c>
      <c r="E9" s="27">
        <v>0</v>
      </c>
      <c r="F9" s="27">
        <v>75</v>
      </c>
      <c r="G9" s="27">
        <v>0</v>
      </c>
      <c r="H9" s="27">
        <v>0</v>
      </c>
      <c r="I9" s="27">
        <v>0</v>
      </c>
      <c r="J9" s="27">
        <v>100</v>
      </c>
      <c r="K9" s="27">
        <v>0</v>
      </c>
      <c r="L9" s="27">
        <v>0</v>
      </c>
      <c r="M9" s="27">
        <v>50</v>
      </c>
      <c r="N9" s="27">
        <v>0</v>
      </c>
    </row>
    <row r="10" spans="1:14" ht="19.5" customHeight="1" x14ac:dyDescent="0.3">
      <c r="A10" s="28" t="s">
        <v>95</v>
      </c>
      <c r="B10" s="29">
        <f t="shared" ref="B10:N10" si="0">B7+B8+B9</f>
        <v>1432</v>
      </c>
      <c r="C10" s="29">
        <f t="shared" si="0"/>
        <v>1442</v>
      </c>
      <c r="D10" s="29">
        <f t="shared" si="0"/>
        <v>1662</v>
      </c>
      <c r="E10" s="29">
        <f t="shared" si="0"/>
        <v>1302</v>
      </c>
      <c r="F10" s="29">
        <f t="shared" si="0"/>
        <v>1597</v>
      </c>
      <c r="G10" s="29">
        <f t="shared" si="0"/>
        <v>1482</v>
      </c>
      <c r="H10" s="29">
        <f t="shared" si="0"/>
        <v>1692</v>
      </c>
      <c r="I10" s="29">
        <f t="shared" si="0"/>
        <v>1362</v>
      </c>
      <c r="J10" s="29">
        <f t="shared" si="0"/>
        <v>1702</v>
      </c>
      <c r="K10" s="29">
        <f t="shared" si="0"/>
        <v>1432</v>
      </c>
      <c r="L10" s="29">
        <f t="shared" si="0"/>
        <v>1712</v>
      </c>
      <c r="M10" s="29">
        <f t="shared" si="0"/>
        <v>1522</v>
      </c>
      <c r="N10" s="29">
        <f t="shared" si="0"/>
        <v>1542</v>
      </c>
    </row>
    <row r="11" spans="1:14" ht="19.5" customHeight="1" x14ac:dyDescent="0.3">
      <c r="A11" s="20" t="s">
        <v>96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30" t="s">
        <v>97</v>
      </c>
      <c r="B12" s="31">
        <v>620</v>
      </c>
      <c r="C12" s="31">
        <v>620</v>
      </c>
      <c r="D12" s="31">
        <v>620</v>
      </c>
      <c r="E12" s="31">
        <v>620</v>
      </c>
      <c r="F12" s="31">
        <v>620</v>
      </c>
      <c r="G12" s="31">
        <v>620</v>
      </c>
      <c r="H12" s="31">
        <v>620</v>
      </c>
      <c r="I12" s="31">
        <v>620</v>
      </c>
      <c r="J12" s="31">
        <v>620</v>
      </c>
      <c r="K12" s="31">
        <v>620</v>
      </c>
      <c r="L12" s="31">
        <v>620</v>
      </c>
      <c r="M12" s="31">
        <v>620</v>
      </c>
      <c r="N12" s="31">
        <v>620</v>
      </c>
    </row>
    <row r="13" spans="1:14" ht="18" customHeight="1" x14ac:dyDescent="0.3">
      <c r="A13" s="30" t="s">
        <v>98</v>
      </c>
      <c r="B13" s="31">
        <v>95</v>
      </c>
      <c r="C13" s="31">
        <v>0</v>
      </c>
      <c r="D13" s="31">
        <v>0</v>
      </c>
      <c r="E13" s="31">
        <v>95</v>
      </c>
      <c r="F13" s="31">
        <v>0</v>
      </c>
      <c r="G13" s="31">
        <v>0</v>
      </c>
      <c r="H13" s="31">
        <v>95</v>
      </c>
      <c r="I13" s="31">
        <v>0</v>
      </c>
      <c r="J13" s="31">
        <v>0</v>
      </c>
      <c r="K13" s="31">
        <v>95</v>
      </c>
      <c r="L13" s="31">
        <v>0</v>
      </c>
      <c r="M13" s="31">
        <v>0</v>
      </c>
      <c r="N13" s="31">
        <v>95</v>
      </c>
    </row>
    <row r="14" spans="1:14" ht="18" customHeight="1" x14ac:dyDescent="0.3">
      <c r="A14" s="30" t="s">
        <v>99</v>
      </c>
      <c r="B14" s="31">
        <v>280</v>
      </c>
      <c r="C14" s="31">
        <v>310</v>
      </c>
      <c r="D14" s="31">
        <v>260</v>
      </c>
      <c r="E14" s="31">
        <v>295</v>
      </c>
      <c r="F14" s="31">
        <v>330</v>
      </c>
      <c r="G14" s="31">
        <v>275</v>
      </c>
      <c r="H14" s="31">
        <v>305</v>
      </c>
      <c r="I14" s="31">
        <v>290</v>
      </c>
      <c r="J14" s="31">
        <v>320</v>
      </c>
      <c r="K14" s="31">
        <v>285</v>
      </c>
      <c r="L14" s="31">
        <v>340</v>
      </c>
      <c r="M14" s="31">
        <v>265</v>
      </c>
      <c r="N14" s="31">
        <v>310</v>
      </c>
    </row>
    <row r="15" spans="1:14" ht="18" customHeight="1" x14ac:dyDescent="0.3">
      <c r="A15" s="30" t="s">
        <v>100</v>
      </c>
      <c r="B15" s="31">
        <v>0</v>
      </c>
      <c r="C15" s="31">
        <v>0</v>
      </c>
      <c r="D15" s="31">
        <v>185</v>
      </c>
      <c r="E15" s="31">
        <v>0</v>
      </c>
      <c r="F15" s="31">
        <v>0</v>
      </c>
      <c r="G15" s="31">
        <v>185</v>
      </c>
      <c r="H15" s="31">
        <v>0</v>
      </c>
      <c r="I15" s="31">
        <v>0</v>
      </c>
      <c r="J15" s="31">
        <v>185</v>
      </c>
      <c r="K15" s="31">
        <v>0</v>
      </c>
      <c r="L15" s="31">
        <v>0</v>
      </c>
      <c r="M15" s="31">
        <v>185</v>
      </c>
      <c r="N15" s="31">
        <v>0</v>
      </c>
    </row>
    <row r="16" spans="1:14" ht="18" customHeight="1" x14ac:dyDescent="0.3">
      <c r="A16" s="30" t="s">
        <v>101</v>
      </c>
      <c r="B16" s="31">
        <v>0</v>
      </c>
      <c r="C16" s="31">
        <v>120</v>
      </c>
      <c r="D16" s="31">
        <v>0</v>
      </c>
      <c r="E16" s="31">
        <v>0</v>
      </c>
      <c r="F16" s="31">
        <v>80</v>
      </c>
      <c r="G16" s="31">
        <v>0</v>
      </c>
      <c r="H16" s="31">
        <v>0</v>
      </c>
      <c r="I16" s="31">
        <v>150</v>
      </c>
      <c r="J16" s="31">
        <v>0</v>
      </c>
      <c r="K16" s="31">
        <v>0</v>
      </c>
      <c r="L16" s="31">
        <v>0</v>
      </c>
      <c r="M16" s="31">
        <v>200</v>
      </c>
      <c r="N16" s="31">
        <v>0</v>
      </c>
    </row>
    <row r="17" spans="1:14" ht="18" customHeight="1" x14ac:dyDescent="0.3">
      <c r="A17" s="30" t="s">
        <v>102</v>
      </c>
      <c r="B17" s="31">
        <v>45</v>
      </c>
      <c r="C17" s="31">
        <v>45</v>
      </c>
      <c r="D17" s="31">
        <v>45</v>
      </c>
      <c r="E17" s="31">
        <v>45</v>
      </c>
      <c r="F17" s="31">
        <v>45</v>
      </c>
      <c r="G17" s="31">
        <v>45</v>
      </c>
      <c r="H17" s="31">
        <v>45</v>
      </c>
      <c r="I17" s="31">
        <v>45</v>
      </c>
      <c r="J17" s="31">
        <v>45</v>
      </c>
      <c r="K17" s="31">
        <v>45</v>
      </c>
      <c r="L17" s="31">
        <v>45</v>
      </c>
      <c r="M17" s="31">
        <v>45</v>
      </c>
      <c r="N17" s="31">
        <v>45</v>
      </c>
    </row>
    <row r="18" spans="1:14" ht="19.5" customHeight="1" x14ac:dyDescent="0.3">
      <c r="A18" s="28" t="s">
        <v>103</v>
      </c>
      <c r="B18" s="29">
        <f t="shared" ref="B18:N18" si="1">B12+B13+B14+B15+B16+B17</f>
        <v>1040</v>
      </c>
      <c r="C18" s="29">
        <f t="shared" si="1"/>
        <v>1095</v>
      </c>
      <c r="D18" s="29">
        <f t="shared" si="1"/>
        <v>1110</v>
      </c>
      <c r="E18" s="29">
        <f t="shared" si="1"/>
        <v>1055</v>
      </c>
      <c r="F18" s="29">
        <f t="shared" si="1"/>
        <v>1075</v>
      </c>
      <c r="G18" s="29">
        <f t="shared" si="1"/>
        <v>1125</v>
      </c>
      <c r="H18" s="29">
        <f t="shared" si="1"/>
        <v>1065</v>
      </c>
      <c r="I18" s="29">
        <f t="shared" si="1"/>
        <v>1105</v>
      </c>
      <c r="J18" s="29">
        <f t="shared" si="1"/>
        <v>1170</v>
      </c>
      <c r="K18" s="29">
        <f t="shared" si="1"/>
        <v>1045</v>
      </c>
      <c r="L18" s="29">
        <f t="shared" si="1"/>
        <v>1005</v>
      </c>
      <c r="M18" s="29">
        <f t="shared" si="1"/>
        <v>1315</v>
      </c>
      <c r="N18" s="29">
        <f t="shared" si="1"/>
        <v>1070</v>
      </c>
    </row>
    <row r="19" spans="1:14" ht="19.5" customHeight="1" x14ac:dyDescent="0.3">
      <c r="A19" s="32" t="s">
        <v>104</v>
      </c>
      <c r="B19" s="33">
        <f t="shared" ref="B19:N19" si="2">B10-B18</f>
        <v>392</v>
      </c>
      <c r="C19" s="33">
        <f t="shared" si="2"/>
        <v>347</v>
      </c>
      <c r="D19" s="33">
        <f t="shared" si="2"/>
        <v>552</v>
      </c>
      <c r="E19" s="33">
        <f t="shared" si="2"/>
        <v>247</v>
      </c>
      <c r="F19" s="33">
        <f t="shared" si="2"/>
        <v>522</v>
      </c>
      <c r="G19" s="33">
        <f t="shared" si="2"/>
        <v>357</v>
      </c>
      <c r="H19" s="33">
        <f t="shared" si="2"/>
        <v>627</v>
      </c>
      <c r="I19" s="33">
        <f t="shared" si="2"/>
        <v>257</v>
      </c>
      <c r="J19" s="33">
        <f t="shared" si="2"/>
        <v>532</v>
      </c>
      <c r="K19" s="33">
        <f t="shared" si="2"/>
        <v>387</v>
      </c>
      <c r="L19" s="33">
        <f t="shared" si="2"/>
        <v>707</v>
      </c>
      <c r="M19" s="33">
        <f t="shared" si="2"/>
        <v>207</v>
      </c>
      <c r="N19" s="33">
        <f t="shared" si="2"/>
        <v>472</v>
      </c>
    </row>
    <row r="20" spans="1:14" ht="21.75" customHeight="1" x14ac:dyDescent="0.3">
      <c r="A20" s="20" t="s">
        <v>105</v>
      </c>
      <c r="B20" s="34">
        <f>B5+B19</f>
        <v>2792</v>
      </c>
      <c r="C20" s="34">
        <f t="shared" ref="C20:N20" si="3">B20+C19</f>
        <v>3139</v>
      </c>
      <c r="D20" s="34">
        <f t="shared" si="3"/>
        <v>3691</v>
      </c>
      <c r="E20" s="34">
        <f t="shared" si="3"/>
        <v>3938</v>
      </c>
      <c r="F20" s="34">
        <f t="shared" si="3"/>
        <v>4460</v>
      </c>
      <c r="G20" s="34">
        <f t="shared" si="3"/>
        <v>4817</v>
      </c>
      <c r="H20" s="34">
        <f t="shared" si="3"/>
        <v>5444</v>
      </c>
      <c r="I20" s="34">
        <f t="shared" si="3"/>
        <v>5701</v>
      </c>
      <c r="J20" s="34">
        <f t="shared" si="3"/>
        <v>6233</v>
      </c>
      <c r="K20" s="34">
        <f t="shared" si="3"/>
        <v>6620</v>
      </c>
      <c r="L20" s="34">
        <f t="shared" si="3"/>
        <v>7327</v>
      </c>
      <c r="M20" s="34">
        <f t="shared" si="3"/>
        <v>7534</v>
      </c>
      <c r="N20" s="34">
        <f t="shared" si="3"/>
        <v>8006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I9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24" customWidth="1"/>
    <col min="2" max="5" width="12" customWidth="1"/>
    <col min="6" max="7" width="15" customWidth="1"/>
    <col min="8" max="8" width="12" customWidth="1"/>
    <col min="9" max="9" width="18" customWidth="1"/>
  </cols>
  <sheetData>
    <row r="1" spans="1:9" ht="31.5" customHeight="1" x14ac:dyDescent="0.3">
      <c r="A1" s="89" t="s">
        <v>106</v>
      </c>
      <c r="B1" s="89"/>
      <c r="C1" s="89"/>
      <c r="D1" s="89"/>
      <c r="E1" s="89"/>
      <c r="F1" s="89"/>
      <c r="G1" s="89"/>
      <c r="H1" s="89"/>
      <c r="I1" s="89"/>
    </row>
    <row r="2" spans="1:9" ht="18" customHeight="1" x14ac:dyDescent="0.3">
      <c r="A2" s="90" t="s">
        <v>107</v>
      </c>
      <c r="B2" s="90"/>
      <c r="C2" s="90"/>
      <c r="D2" s="90"/>
      <c r="E2" s="90"/>
      <c r="F2" s="90"/>
      <c r="G2" s="90"/>
      <c r="H2" s="90"/>
      <c r="I2" s="90"/>
    </row>
    <row r="4" spans="1:9" ht="21.75" customHeight="1" x14ac:dyDescent="0.3">
      <c r="A4" s="20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113</v>
      </c>
      <c r="G4" s="2" t="s">
        <v>114</v>
      </c>
      <c r="H4" s="2" t="s">
        <v>115</v>
      </c>
      <c r="I4" s="2" t="s">
        <v>116</v>
      </c>
    </row>
    <row r="5" spans="1:9" ht="19.5" customHeight="1" x14ac:dyDescent="0.3">
      <c r="A5" s="35" t="s">
        <v>117</v>
      </c>
      <c r="B5" s="36">
        <v>4200</v>
      </c>
      <c r="C5" s="36">
        <v>5800</v>
      </c>
      <c r="D5" s="36">
        <v>7900</v>
      </c>
      <c r="E5" s="36">
        <v>10400</v>
      </c>
      <c r="F5" s="37">
        <f>(E5-D5)/D5</f>
        <v>0.31645569620253167</v>
      </c>
      <c r="G5" s="36">
        <v>120000</v>
      </c>
      <c r="H5" s="36">
        <v>87</v>
      </c>
      <c r="I5" s="38">
        <f>E5*1000/H5</f>
        <v>119540.22988505747</v>
      </c>
    </row>
    <row r="6" spans="1:9" ht="19.5" customHeight="1" x14ac:dyDescent="0.3">
      <c r="A6" s="39" t="s">
        <v>118</v>
      </c>
      <c r="B6" s="40">
        <v>2100</v>
      </c>
      <c r="C6" s="40">
        <v>2700</v>
      </c>
      <c r="D6" s="40">
        <v>3500</v>
      </c>
      <c r="E6" s="40">
        <v>4200</v>
      </c>
      <c r="F6" s="41">
        <f>(E6-D6)/D6</f>
        <v>0.2</v>
      </c>
      <c r="G6" s="40">
        <v>28000</v>
      </c>
      <c r="H6" s="40">
        <v>150</v>
      </c>
      <c r="I6" s="42">
        <f>E6*1000/H6</f>
        <v>28000</v>
      </c>
    </row>
    <row r="7" spans="1:9" ht="19.5" customHeight="1" x14ac:dyDescent="0.3">
      <c r="A7" s="35" t="s">
        <v>119</v>
      </c>
      <c r="B7" s="36">
        <v>850</v>
      </c>
      <c r="C7" s="36">
        <v>1050</v>
      </c>
      <c r="D7" s="36">
        <v>1280</v>
      </c>
      <c r="E7" s="36">
        <v>1420</v>
      </c>
      <c r="F7" s="37">
        <f>(E7-D7)/D7</f>
        <v>0.109375</v>
      </c>
      <c r="G7" s="36">
        <v>4800</v>
      </c>
      <c r="H7" s="36">
        <v>296</v>
      </c>
      <c r="I7" s="38">
        <f>E7*1000/H7</f>
        <v>4797.2972972972975</v>
      </c>
    </row>
    <row r="8" spans="1:9" ht="19.5" customHeight="1" x14ac:dyDescent="0.3">
      <c r="A8" s="39" t="s">
        <v>120</v>
      </c>
      <c r="B8" s="40">
        <v>600</v>
      </c>
      <c r="C8" s="40">
        <v>780</v>
      </c>
      <c r="D8" s="40">
        <v>920</v>
      </c>
      <c r="E8" s="40">
        <v>1050</v>
      </c>
      <c r="F8" s="41">
        <f>(E8-D8)/D8</f>
        <v>0.14130434782608695</v>
      </c>
      <c r="G8" s="43"/>
      <c r="H8" s="43"/>
      <c r="I8" s="44" t="s">
        <v>121</v>
      </c>
    </row>
    <row r="9" spans="1:9" ht="21.75" customHeight="1" x14ac:dyDescent="0.3">
      <c r="A9" s="20" t="s">
        <v>122</v>
      </c>
      <c r="B9" s="34">
        <f>SUM(B5:B8)</f>
        <v>7750</v>
      </c>
      <c r="C9" s="34">
        <f>SUM(C5:C8)</f>
        <v>10330</v>
      </c>
      <c r="D9" s="34">
        <f>SUM(D5:D8)</f>
        <v>13600</v>
      </c>
      <c r="E9" s="34">
        <f>SUM(E5:E8)</f>
        <v>17070</v>
      </c>
      <c r="F9" s="45">
        <f>(E9-D9)/D9</f>
        <v>0.25514705882352939</v>
      </c>
      <c r="G9" s="25"/>
      <c r="H9" s="25"/>
      <c r="I9" s="25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2" width="11" customWidth="1"/>
    <col min="3" max="3" width="20" customWidth="1"/>
    <col min="4" max="5" width="15" customWidth="1"/>
    <col min="6" max="6" width="10" customWidth="1"/>
    <col min="7" max="7" width="20" customWidth="1"/>
    <col min="8" max="8" width="18" customWidth="1"/>
  </cols>
  <sheetData>
    <row r="1" spans="1:8" ht="31.5" customHeight="1" x14ac:dyDescent="0.3">
      <c r="A1" s="89" t="s">
        <v>123</v>
      </c>
      <c r="B1" s="89"/>
      <c r="C1" s="89"/>
      <c r="D1" s="89"/>
      <c r="E1" s="89"/>
      <c r="F1" s="89"/>
      <c r="G1" s="89"/>
      <c r="H1" s="89"/>
    </row>
    <row r="2" spans="1:8" ht="18" customHeight="1" x14ac:dyDescent="0.3">
      <c r="A2" s="90" t="s">
        <v>124</v>
      </c>
      <c r="B2" s="90"/>
      <c r="C2" s="90"/>
      <c r="D2" s="90"/>
      <c r="E2" s="90"/>
      <c r="F2" s="90"/>
      <c r="G2" s="90"/>
      <c r="H2" s="90"/>
    </row>
    <row r="4" spans="1:8" ht="21.75" customHeight="1" x14ac:dyDescent="0.3">
      <c r="A4" s="20" t="s">
        <v>125</v>
      </c>
      <c r="B4" s="2" t="s">
        <v>126</v>
      </c>
      <c r="C4" s="2" t="s">
        <v>127</v>
      </c>
      <c r="D4" s="2" t="s">
        <v>128</v>
      </c>
      <c r="E4" s="2" t="s">
        <v>129</v>
      </c>
      <c r="F4" s="2" t="s">
        <v>130</v>
      </c>
      <c r="G4" s="2" t="s">
        <v>131</v>
      </c>
      <c r="H4" s="2" t="s">
        <v>132</v>
      </c>
    </row>
    <row r="5" spans="1:8" ht="19.5" customHeight="1" x14ac:dyDescent="0.3">
      <c r="A5" s="35" t="s">
        <v>133</v>
      </c>
      <c r="B5" s="36">
        <v>28</v>
      </c>
      <c r="C5" s="36">
        <v>95</v>
      </c>
      <c r="D5" s="38">
        <f t="shared" ref="D5:D12" si="0">C5*0.3</f>
        <v>28.5</v>
      </c>
      <c r="E5" s="38">
        <f t="shared" ref="E5:E12" si="1">B5*(C5+D5)</f>
        <v>3458</v>
      </c>
      <c r="F5" s="36">
        <v>4</v>
      </c>
      <c r="G5" s="36">
        <v>3</v>
      </c>
      <c r="H5" s="38">
        <f t="shared" ref="H5:H12" si="2">B5+G5</f>
        <v>31</v>
      </c>
    </row>
    <row r="6" spans="1:8" ht="19.5" customHeight="1" x14ac:dyDescent="0.3">
      <c r="A6" s="39" t="s">
        <v>134</v>
      </c>
      <c r="B6" s="40">
        <v>12</v>
      </c>
      <c r="C6" s="40">
        <v>88</v>
      </c>
      <c r="D6" s="42">
        <f t="shared" si="0"/>
        <v>26.4</v>
      </c>
      <c r="E6" s="42">
        <f t="shared" si="1"/>
        <v>1372.8000000000002</v>
      </c>
      <c r="F6" s="40">
        <v>2</v>
      </c>
      <c r="G6" s="40">
        <v>2</v>
      </c>
      <c r="H6" s="42">
        <f t="shared" si="2"/>
        <v>14</v>
      </c>
    </row>
    <row r="7" spans="1:8" ht="19.5" customHeight="1" x14ac:dyDescent="0.3">
      <c r="A7" s="35" t="s">
        <v>135</v>
      </c>
      <c r="B7" s="36">
        <v>35</v>
      </c>
      <c r="C7" s="36">
        <v>130</v>
      </c>
      <c r="D7" s="38">
        <f t="shared" si="0"/>
        <v>39</v>
      </c>
      <c r="E7" s="38">
        <f t="shared" si="1"/>
        <v>5915</v>
      </c>
      <c r="F7" s="36">
        <v>6</v>
      </c>
      <c r="G7" s="36">
        <v>8</v>
      </c>
      <c r="H7" s="38">
        <f t="shared" si="2"/>
        <v>43</v>
      </c>
    </row>
    <row r="8" spans="1:8" ht="19.5" customHeight="1" x14ac:dyDescent="0.3">
      <c r="A8" s="39" t="s">
        <v>136</v>
      </c>
      <c r="B8" s="40">
        <v>10</v>
      </c>
      <c r="C8" s="40">
        <v>125</v>
      </c>
      <c r="D8" s="42">
        <f t="shared" si="0"/>
        <v>37.5</v>
      </c>
      <c r="E8" s="42">
        <f t="shared" si="1"/>
        <v>1625</v>
      </c>
      <c r="F8" s="40">
        <v>1</v>
      </c>
      <c r="G8" s="40">
        <v>2</v>
      </c>
      <c r="H8" s="42">
        <f t="shared" si="2"/>
        <v>12</v>
      </c>
    </row>
    <row r="9" spans="1:8" ht="19.5" customHeight="1" x14ac:dyDescent="0.3">
      <c r="A9" s="35" t="s">
        <v>137</v>
      </c>
      <c r="B9" s="36">
        <v>18</v>
      </c>
      <c r="C9" s="36">
        <v>72</v>
      </c>
      <c r="D9" s="38">
        <f t="shared" si="0"/>
        <v>21.599999999999998</v>
      </c>
      <c r="E9" s="38">
        <f t="shared" si="1"/>
        <v>1684.8</v>
      </c>
      <c r="F9" s="36">
        <v>2</v>
      </c>
      <c r="G9" s="36">
        <v>3</v>
      </c>
      <c r="H9" s="38">
        <f t="shared" si="2"/>
        <v>21</v>
      </c>
    </row>
    <row r="10" spans="1:8" ht="19.5" customHeight="1" x14ac:dyDescent="0.3">
      <c r="A10" s="39" t="s">
        <v>138</v>
      </c>
      <c r="B10" s="40">
        <v>8</v>
      </c>
      <c r="C10" s="40">
        <v>110</v>
      </c>
      <c r="D10" s="42">
        <f t="shared" si="0"/>
        <v>33</v>
      </c>
      <c r="E10" s="42">
        <f t="shared" si="1"/>
        <v>1144</v>
      </c>
      <c r="F10" s="40">
        <v>0</v>
      </c>
      <c r="G10" s="40">
        <v>1</v>
      </c>
      <c r="H10" s="42">
        <f t="shared" si="2"/>
        <v>9</v>
      </c>
    </row>
    <row r="11" spans="1:8" ht="19.5" customHeight="1" x14ac:dyDescent="0.3">
      <c r="A11" s="35" t="s">
        <v>139</v>
      </c>
      <c r="B11" s="36">
        <v>6</v>
      </c>
      <c r="C11" s="36">
        <v>85</v>
      </c>
      <c r="D11" s="38">
        <f t="shared" si="0"/>
        <v>25.5</v>
      </c>
      <c r="E11" s="38">
        <f t="shared" si="1"/>
        <v>663</v>
      </c>
      <c r="F11" s="36">
        <v>1</v>
      </c>
      <c r="G11" s="36">
        <v>1</v>
      </c>
      <c r="H11" s="38">
        <f t="shared" si="2"/>
        <v>7</v>
      </c>
    </row>
    <row r="12" spans="1:8" ht="19.5" customHeight="1" x14ac:dyDescent="0.3">
      <c r="A12" s="39" t="s">
        <v>140</v>
      </c>
      <c r="B12" s="40">
        <v>5</v>
      </c>
      <c r="C12" s="40">
        <v>180</v>
      </c>
      <c r="D12" s="42">
        <f t="shared" si="0"/>
        <v>54</v>
      </c>
      <c r="E12" s="42">
        <f t="shared" si="1"/>
        <v>1170</v>
      </c>
      <c r="F12" s="40">
        <v>0</v>
      </c>
      <c r="G12" s="40">
        <v>0</v>
      </c>
      <c r="H12" s="42">
        <f t="shared" si="2"/>
        <v>5</v>
      </c>
    </row>
    <row r="13" spans="1:8" ht="21.75" customHeight="1" x14ac:dyDescent="0.3">
      <c r="A13" s="20" t="s">
        <v>141</v>
      </c>
      <c r="B13" s="34">
        <f>SUM(B5:B12)</f>
        <v>122</v>
      </c>
      <c r="C13" s="25"/>
      <c r="D13" s="25"/>
      <c r="E13" s="34">
        <f>SUM(E5:E12)</f>
        <v>17032.599999999999</v>
      </c>
      <c r="F13" s="34">
        <f>SUM(F5:F12)</f>
        <v>16</v>
      </c>
      <c r="G13" s="34">
        <f>SUM(G5:G12)</f>
        <v>20</v>
      </c>
      <c r="H13" s="34">
        <f>SUM(H5:H12)</f>
        <v>142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showGridLines="0" topLeftCell="A14" zoomScaleNormal="100" workbookViewId="0">
      <selection sqref="A1:F30"/>
    </sheetView>
  </sheetViews>
  <sheetFormatPr defaultColWidth="8.6640625" defaultRowHeight="14.4" x14ac:dyDescent="0.3"/>
  <cols>
    <col min="1" max="1" width="28" customWidth="1"/>
    <col min="2" max="6" width="12" customWidth="1"/>
  </cols>
  <sheetData>
    <row r="1" spans="1:6" ht="31.5" customHeight="1" x14ac:dyDescent="0.3">
      <c r="A1" s="89" t="s">
        <v>142</v>
      </c>
      <c r="B1" s="89"/>
      <c r="C1" s="89"/>
      <c r="D1" s="89"/>
      <c r="E1" s="89"/>
      <c r="F1" s="89"/>
    </row>
    <row r="2" spans="1:6" ht="18" customHeight="1" x14ac:dyDescent="0.3">
      <c r="A2" s="90" t="s">
        <v>143</v>
      </c>
      <c r="B2" s="90"/>
      <c r="C2" s="90"/>
      <c r="D2" s="90"/>
      <c r="E2" s="90"/>
      <c r="F2" s="90"/>
    </row>
    <row r="4" spans="1:6" ht="19.5" customHeight="1" x14ac:dyDescent="0.3">
      <c r="A4" s="20" t="s">
        <v>144</v>
      </c>
      <c r="B4" s="2" t="s">
        <v>145</v>
      </c>
      <c r="C4" s="2" t="s">
        <v>109</v>
      </c>
      <c r="D4" s="2" t="s">
        <v>110</v>
      </c>
      <c r="E4" s="2" t="s">
        <v>111</v>
      </c>
      <c r="F4" s="2" t="s">
        <v>112</v>
      </c>
    </row>
    <row r="5" spans="1:6" ht="19.5" customHeight="1" x14ac:dyDescent="0.3">
      <c r="A5" s="46" t="s">
        <v>146</v>
      </c>
      <c r="B5" s="40">
        <v>5200</v>
      </c>
      <c r="C5" s="40">
        <v>7750</v>
      </c>
      <c r="D5" s="40">
        <v>10480</v>
      </c>
      <c r="E5" s="40">
        <v>14100</v>
      </c>
      <c r="F5" s="40">
        <v>17070</v>
      </c>
    </row>
    <row r="6" spans="1:6" ht="19.5" customHeight="1" x14ac:dyDescent="0.3">
      <c r="A6" s="46" t="s">
        <v>147</v>
      </c>
      <c r="B6" s="40">
        <v>600</v>
      </c>
      <c r="C6" s="40">
        <v>780</v>
      </c>
      <c r="D6" s="40">
        <v>920</v>
      </c>
      <c r="E6" s="40">
        <v>1050</v>
      </c>
      <c r="F6" s="40">
        <v>1100</v>
      </c>
    </row>
    <row r="7" spans="1:6" ht="19.5" customHeight="1" x14ac:dyDescent="0.3">
      <c r="A7" s="28" t="s">
        <v>122</v>
      </c>
      <c r="B7" s="29">
        <f>B5+B6</f>
        <v>5800</v>
      </c>
      <c r="C7" s="29">
        <f>C5+C6</f>
        <v>8530</v>
      </c>
      <c r="D7" s="29">
        <f>D5+D6</f>
        <v>11400</v>
      </c>
      <c r="E7" s="29">
        <f>E5+E6</f>
        <v>15150</v>
      </c>
      <c r="F7" s="29">
        <f>F5+F6</f>
        <v>18170</v>
      </c>
    </row>
    <row r="8" spans="1:6" ht="7.5" customHeight="1" x14ac:dyDescent="0.3"/>
    <row r="9" spans="1:6" ht="19.5" customHeight="1" x14ac:dyDescent="0.3">
      <c r="A9" s="47" t="s">
        <v>148</v>
      </c>
      <c r="B9" s="25"/>
      <c r="C9" s="25"/>
      <c r="D9" s="25"/>
      <c r="E9" s="25"/>
      <c r="F9" s="25"/>
    </row>
    <row r="10" spans="1:6" ht="19.5" customHeight="1" x14ac:dyDescent="0.3">
      <c r="A10" s="48" t="s">
        <v>149</v>
      </c>
      <c r="B10" s="49">
        <v>1040</v>
      </c>
      <c r="C10" s="49">
        <v>1320</v>
      </c>
      <c r="D10" s="49">
        <v>1780</v>
      </c>
      <c r="E10" s="49">
        <v>2400</v>
      </c>
      <c r="F10" s="49">
        <v>2900</v>
      </c>
    </row>
    <row r="11" spans="1:6" ht="19.5" customHeight="1" x14ac:dyDescent="0.3">
      <c r="A11" s="48" t="s">
        <v>150</v>
      </c>
      <c r="B11" s="49">
        <v>420</v>
      </c>
      <c r="C11" s="49">
        <v>540</v>
      </c>
      <c r="D11" s="49">
        <v>640</v>
      </c>
      <c r="E11" s="49">
        <v>730</v>
      </c>
      <c r="F11" s="49">
        <v>770</v>
      </c>
    </row>
    <row r="12" spans="1:6" ht="19.5" customHeight="1" x14ac:dyDescent="0.3">
      <c r="A12" s="28" t="s">
        <v>151</v>
      </c>
      <c r="B12" s="29">
        <f>B10+B11</f>
        <v>1460</v>
      </c>
      <c r="C12" s="29">
        <f>C10+C11</f>
        <v>1860</v>
      </c>
      <c r="D12" s="29">
        <f>D10+D11</f>
        <v>2420</v>
      </c>
      <c r="E12" s="29">
        <f>E10+E11</f>
        <v>3130</v>
      </c>
      <c r="F12" s="29">
        <f>F10+F11</f>
        <v>3670</v>
      </c>
    </row>
    <row r="13" spans="1:6" ht="19.5" customHeight="1" x14ac:dyDescent="0.3">
      <c r="A13" s="50" t="s">
        <v>152</v>
      </c>
      <c r="B13" s="51">
        <f>B7-B12</f>
        <v>4340</v>
      </c>
      <c r="C13" s="51">
        <f>C7-C12</f>
        <v>6670</v>
      </c>
      <c r="D13" s="51">
        <f>D7-D12</f>
        <v>8980</v>
      </c>
      <c r="E13" s="51">
        <f>E7-E12</f>
        <v>12020</v>
      </c>
      <c r="F13" s="51">
        <f>F7-F12</f>
        <v>14500</v>
      </c>
    </row>
    <row r="14" spans="1:6" ht="19.5" customHeight="1" x14ac:dyDescent="0.3">
      <c r="A14" s="26" t="s">
        <v>153</v>
      </c>
      <c r="B14" s="52">
        <f>B13/B7</f>
        <v>0.74827586206896557</v>
      </c>
      <c r="C14" s="52">
        <f>C13/C7</f>
        <v>0.78194607268464245</v>
      </c>
      <c r="D14" s="52">
        <f>D13/D7</f>
        <v>0.78771929824561404</v>
      </c>
      <c r="E14" s="52">
        <f>E13/E7</f>
        <v>0.79339933993399336</v>
      </c>
      <c r="F14" s="52">
        <f>F13/F7</f>
        <v>0.79801871216290587</v>
      </c>
    </row>
    <row r="15" spans="1:6" ht="7.5" customHeight="1" x14ac:dyDescent="0.3"/>
    <row r="16" spans="1:6" ht="19.5" customHeight="1" x14ac:dyDescent="0.3">
      <c r="A16" s="47" t="s">
        <v>154</v>
      </c>
      <c r="B16" s="25"/>
      <c r="C16" s="25"/>
      <c r="D16" s="25"/>
      <c r="E16" s="25"/>
      <c r="F16" s="25"/>
    </row>
    <row r="17" spans="1:6" ht="19.5" customHeight="1" x14ac:dyDescent="0.3">
      <c r="A17" s="30" t="s">
        <v>155</v>
      </c>
      <c r="B17" s="31">
        <v>1800</v>
      </c>
      <c r="C17" s="31">
        <v>2600</v>
      </c>
      <c r="D17" s="31">
        <v>3400</v>
      </c>
      <c r="E17" s="31">
        <v>4700</v>
      </c>
      <c r="F17" s="31">
        <v>5900</v>
      </c>
    </row>
    <row r="18" spans="1:6" ht="19.5" customHeight="1" x14ac:dyDescent="0.3">
      <c r="A18" s="30" t="s">
        <v>156</v>
      </c>
      <c r="B18" s="31">
        <v>1200</v>
      </c>
      <c r="C18" s="31">
        <v>1700</v>
      </c>
      <c r="D18" s="31">
        <v>2300</v>
      </c>
      <c r="E18" s="31">
        <v>3100</v>
      </c>
      <c r="F18" s="31">
        <v>3800</v>
      </c>
    </row>
    <row r="19" spans="1:6" ht="19.5" customHeight="1" x14ac:dyDescent="0.3">
      <c r="A19" s="30" t="s">
        <v>157</v>
      </c>
      <c r="B19" s="31">
        <v>620</v>
      </c>
      <c r="C19" s="31">
        <v>850</v>
      </c>
      <c r="D19" s="31">
        <v>1050</v>
      </c>
      <c r="E19" s="31">
        <v>1350</v>
      </c>
      <c r="F19" s="31">
        <v>1600</v>
      </c>
    </row>
    <row r="20" spans="1:6" ht="19.5" customHeight="1" x14ac:dyDescent="0.3">
      <c r="A20" s="28" t="s">
        <v>158</v>
      </c>
      <c r="B20" s="29">
        <f>B17+B18+B19</f>
        <v>3620</v>
      </c>
      <c r="C20" s="29">
        <f>C17+C18+C19</f>
        <v>5150</v>
      </c>
      <c r="D20" s="29">
        <f>D17+D18+D19</f>
        <v>6750</v>
      </c>
      <c r="E20" s="29">
        <f>E17+E18+E19</f>
        <v>9150</v>
      </c>
      <c r="F20" s="29">
        <f>F17+F18+F19</f>
        <v>11300</v>
      </c>
    </row>
    <row r="21" spans="1:6" ht="7.5" customHeight="1" x14ac:dyDescent="0.3"/>
    <row r="22" spans="1:6" ht="19.5" customHeight="1" x14ac:dyDescent="0.3">
      <c r="A22" s="53" t="s">
        <v>159</v>
      </c>
      <c r="B22" s="54">
        <f>B13-B20</f>
        <v>720</v>
      </c>
      <c r="C22" s="54">
        <f>C13-C20</f>
        <v>1520</v>
      </c>
      <c r="D22" s="54">
        <f>D13-D20</f>
        <v>2230</v>
      </c>
      <c r="E22" s="54">
        <f>E13-E20</f>
        <v>2870</v>
      </c>
      <c r="F22" s="54">
        <f>F13-F20</f>
        <v>3200</v>
      </c>
    </row>
    <row r="23" spans="1:6" ht="19.5" customHeight="1" x14ac:dyDescent="0.3">
      <c r="A23" s="46" t="s">
        <v>160</v>
      </c>
      <c r="B23" s="55">
        <f>B22/B7</f>
        <v>0.12413793103448276</v>
      </c>
      <c r="C23" s="55">
        <f>C22/C7</f>
        <v>0.17819460726846426</v>
      </c>
      <c r="D23" s="55">
        <f>D22/D7</f>
        <v>0.1956140350877193</v>
      </c>
      <c r="E23" s="55">
        <f>E22/E7</f>
        <v>0.18943894389438945</v>
      </c>
      <c r="F23" s="55">
        <f>F22/F7</f>
        <v>0.17611447440836545</v>
      </c>
    </row>
    <row r="24" spans="1:6" ht="7.5" customHeight="1" x14ac:dyDescent="0.3"/>
    <row r="25" spans="1:6" ht="19.5" customHeight="1" x14ac:dyDescent="0.3">
      <c r="A25" s="56" t="s">
        <v>161</v>
      </c>
      <c r="B25" s="36">
        <v>180</v>
      </c>
      <c r="C25" s="36">
        <v>240</v>
      </c>
      <c r="D25" s="36">
        <v>310</v>
      </c>
      <c r="E25" s="36">
        <v>420</v>
      </c>
      <c r="F25" s="36">
        <v>510</v>
      </c>
    </row>
    <row r="26" spans="1:6" ht="19.5" customHeight="1" x14ac:dyDescent="0.3">
      <c r="A26" s="28" t="s">
        <v>162</v>
      </c>
      <c r="B26" s="29">
        <f>B22-B25</f>
        <v>540</v>
      </c>
      <c r="C26" s="29">
        <f>C22-C25</f>
        <v>1280</v>
      </c>
      <c r="D26" s="29">
        <f>D22-D25</f>
        <v>1920</v>
      </c>
      <c r="E26" s="29">
        <f>E22-E25</f>
        <v>2450</v>
      </c>
      <c r="F26" s="29">
        <f>F22-F25</f>
        <v>2690</v>
      </c>
    </row>
    <row r="27" spans="1:6" ht="19.5" customHeight="1" x14ac:dyDescent="0.3">
      <c r="A27" s="56" t="s">
        <v>163</v>
      </c>
      <c r="B27" s="36">
        <v>45</v>
      </c>
      <c r="C27" s="36">
        <v>60</v>
      </c>
      <c r="D27" s="36">
        <v>75</v>
      </c>
      <c r="E27" s="36">
        <v>95</v>
      </c>
      <c r="F27" s="36">
        <v>110</v>
      </c>
    </row>
    <row r="28" spans="1:6" ht="19.5" customHeight="1" x14ac:dyDescent="0.3">
      <c r="A28" s="56" t="s">
        <v>164</v>
      </c>
      <c r="B28" s="38">
        <f>MAX(0,(B26-B27)*0.25)</f>
        <v>123.75</v>
      </c>
      <c r="C28" s="38">
        <f>MAX(0,(C26-C27)*0.25)</f>
        <v>305</v>
      </c>
      <c r="D28" s="38">
        <f>MAX(0,(D26-D27)*0.25)</f>
        <v>461.25</v>
      </c>
      <c r="E28" s="38">
        <f>MAX(0,(E26-E27)*0.25)</f>
        <v>588.75</v>
      </c>
      <c r="F28" s="38">
        <f>MAX(0,(F26-F27)*0.25)</f>
        <v>645</v>
      </c>
    </row>
    <row r="29" spans="1:6" ht="19.5" customHeight="1" x14ac:dyDescent="0.3">
      <c r="A29" s="47" t="s">
        <v>165</v>
      </c>
      <c r="B29" s="34">
        <f>B26-B27-B28</f>
        <v>371.25</v>
      </c>
      <c r="C29" s="34">
        <f>C26-C27-C28</f>
        <v>915</v>
      </c>
      <c r="D29" s="34">
        <f>D26-D27-D28</f>
        <v>1383.75</v>
      </c>
      <c r="E29" s="34">
        <f>E26-E27-E28</f>
        <v>1766.25</v>
      </c>
      <c r="F29" s="34">
        <f>F26-F27-F28</f>
        <v>1935</v>
      </c>
    </row>
    <row r="30" spans="1:6" ht="19.5" customHeight="1" x14ac:dyDescent="0.3">
      <c r="A30" s="46" t="s">
        <v>166</v>
      </c>
      <c r="B30" s="55">
        <f>B29/B7</f>
        <v>6.4008620689655168E-2</v>
      </c>
      <c r="C30" s="55">
        <f>C29/C7</f>
        <v>0.10726846424384526</v>
      </c>
      <c r="D30" s="55">
        <f>D29/D7</f>
        <v>0.12138157894736842</v>
      </c>
      <c r="E30" s="55">
        <f>E29/E7</f>
        <v>0.11658415841584159</v>
      </c>
      <c r="F30" s="55">
        <f>F29/F7</f>
        <v>0.10649422124380847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28" customWidth="1"/>
    <col min="2" max="4" width="13" customWidth="1"/>
    <col min="5" max="5" width="12" customWidth="1"/>
    <col min="6" max="6" width="18" customWidth="1"/>
    <col min="7" max="7" width="8" customWidth="1"/>
    <col min="8" max="8" width="30" customWidth="1"/>
  </cols>
  <sheetData>
    <row r="1" spans="1:8" ht="31.5" customHeight="1" x14ac:dyDescent="0.3">
      <c r="A1" s="89" t="s">
        <v>167</v>
      </c>
      <c r="B1" s="89"/>
      <c r="C1" s="89"/>
      <c r="D1" s="89"/>
      <c r="E1" s="89"/>
      <c r="F1" s="89"/>
      <c r="G1" s="89"/>
      <c r="H1" s="89"/>
    </row>
    <row r="2" spans="1:8" ht="18" customHeight="1" x14ac:dyDescent="0.3">
      <c r="A2" s="90" t="s">
        <v>168</v>
      </c>
      <c r="B2" s="90"/>
      <c r="C2" s="90"/>
      <c r="D2" s="90"/>
      <c r="E2" s="90"/>
      <c r="F2" s="90"/>
      <c r="G2" s="90"/>
      <c r="H2" s="90"/>
    </row>
    <row r="4" spans="1:8" ht="21.75" customHeight="1" x14ac:dyDescent="0.3">
      <c r="A4" s="20" t="s">
        <v>76</v>
      </c>
      <c r="B4" s="2" t="s">
        <v>169</v>
      </c>
      <c r="C4" s="2" t="s">
        <v>170</v>
      </c>
      <c r="D4" s="2" t="s">
        <v>171</v>
      </c>
      <c r="E4" s="2" t="s">
        <v>172</v>
      </c>
      <c r="F4" s="2" t="s">
        <v>173</v>
      </c>
      <c r="G4" s="2" t="s">
        <v>174</v>
      </c>
      <c r="H4" s="2" t="s">
        <v>7</v>
      </c>
    </row>
    <row r="5" spans="1:8" ht="19.5" customHeight="1" x14ac:dyDescent="0.3">
      <c r="A5" s="20" t="s">
        <v>144</v>
      </c>
      <c r="B5" s="25"/>
      <c r="C5" s="25"/>
      <c r="D5" s="25"/>
      <c r="E5" s="25"/>
      <c r="F5" s="25"/>
      <c r="G5" s="25"/>
      <c r="H5" s="25"/>
    </row>
    <row r="6" spans="1:8" ht="19.5" customHeight="1" x14ac:dyDescent="0.3">
      <c r="A6" s="57" t="s">
        <v>175</v>
      </c>
      <c r="B6" s="58">
        <v>4280</v>
      </c>
      <c r="C6" s="58">
        <v>3940</v>
      </c>
      <c r="D6" s="59">
        <f>C6-B6</f>
        <v>-340</v>
      </c>
      <c r="E6" s="60">
        <f>D6/B6</f>
        <v>-7.9439252336448593E-2</v>
      </c>
      <c r="F6" s="58">
        <v>3610</v>
      </c>
      <c r="G6" s="61" t="str">
        <f>IF(ABS(E6)&gt;0.1,"⚠","✓")</f>
        <v>✓</v>
      </c>
      <c r="H6" s="62" t="s">
        <v>176</v>
      </c>
    </row>
    <row r="7" spans="1:8" ht="19.5" customHeight="1" x14ac:dyDescent="0.3">
      <c r="A7" s="56" t="s">
        <v>177</v>
      </c>
      <c r="B7" s="36">
        <v>290</v>
      </c>
      <c r="C7" s="36">
        <v>310</v>
      </c>
      <c r="D7" s="38">
        <f>C7-B7</f>
        <v>20</v>
      </c>
      <c r="E7" s="37">
        <f>D7/B7</f>
        <v>6.8965517241379309E-2</v>
      </c>
      <c r="F7" s="36">
        <v>280</v>
      </c>
      <c r="G7" s="63" t="str">
        <f>IF(ABS(E7)&gt;0.1,"⚠","✓")</f>
        <v>✓</v>
      </c>
      <c r="H7" s="64" t="s">
        <v>178</v>
      </c>
    </row>
    <row r="8" spans="1:8" ht="21.75" customHeight="1" x14ac:dyDescent="0.3">
      <c r="A8" s="28" t="s">
        <v>122</v>
      </c>
      <c r="B8" s="29">
        <f>B6+B7</f>
        <v>4570</v>
      </c>
      <c r="C8" s="29">
        <f>C6+C7</f>
        <v>4250</v>
      </c>
      <c r="D8" s="29">
        <f>C8-B8</f>
        <v>-320</v>
      </c>
      <c r="E8" s="65">
        <f>D8/B8</f>
        <v>-7.0021881838074396E-2</v>
      </c>
      <c r="F8" s="29">
        <f>F6+F7</f>
        <v>3890</v>
      </c>
      <c r="G8" s="66"/>
      <c r="H8" s="66"/>
    </row>
    <row r="9" spans="1:8" ht="7.5" customHeight="1" x14ac:dyDescent="0.3"/>
    <row r="10" spans="1:8" ht="19.5" customHeight="1" x14ac:dyDescent="0.3">
      <c r="A10" s="20" t="s">
        <v>148</v>
      </c>
      <c r="B10" s="25"/>
      <c r="C10" s="25"/>
      <c r="D10" s="25"/>
      <c r="E10" s="25"/>
      <c r="F10" s="25"/>
      <c r="G10" s="25"/>
      <c r="H10" s="25"/>
    </row>
    <row r="11" spans="1:8" ht="19.5" customHeight="1" x14ac:dyDescent="0.3">
      <c r="A11" s="56" t="s">
        <v>179</v>
      </c>
      <c r="B11" s="36">
        <v>410</v>
      </c>
      <c r="C11" s="36">
        <v>445</v>
      </c>
      <c r="D11" s="38">
        <f>C11-B11</f>
        <v>35</v>
      </c>
      <c r="E11" s="37">
        <f>D11/B11</f>
        <v>8.5365853658536592E-2</v>
      </c>
      <c r="F11" s="36">
        <v>390</v>
      </c>
      <c r="G11" s="63" t="str">
        <f>IF(ABS(E11)&gt;0.1,"⚠","✓")</f>
        <v>✓</v>
      </c>
      <c r="H11" s="64" t="s">
        <v>180</v>
      </c>
    </row>
    <row r="12" spans="1:8" ht="19.5" customHeight="1" x14ac:dyDescent="0.3">
      <c r="A12" s="57" t="s">
        <v>181</v>
      </c>
      <c r="B12" s="58">
        <v>195</v>
      </c>
      <c r="C12" s="58">
        <v>190</v>
      </c>
      <c r="D12" s="59">
        <f>C12-B12</f>
        <v>-5</v>
      </c>
      <c r="E12" s="60">
        <f>D12/B12</f>
        <v>-2.564102564102564E-2</v>
      </c>
      <c r="F12" s="58">
        <v>185</v>
      </c>
      <c r="G12" s="61" t="str">
        <f>IF(ABS(E12)&gt;0.1,"⚠","✓")</f>
        <v>✓</v>
      </c>
      <c r="H12" s="62" t="s">
        <v>182</v>
      </c>
    </row>
    <row r="13" spans="1:8" ht="21.75" customHeight="1" x14ac:dyDescent="0.3">
      <c r="A13" s="28" t="s">
        <v>151</v>
      </c>
      <c r="B13" s="29">
        <f>B11+B12</f>
        <v>605</v>
      </c>
      <c r="C13" s="29">
        <f>C11+C12</f>
        <v>635</v>
      </c>
      <c r="D13" s="29">
        <f>C13-B13</f>
        <v>30</v>
      </c>
      <c r="E13" s="65">
        <f>D13/B13</f>
        <v>4.9586776859504134E-2</v>
      </c>
      <c r="F13" s="29">
        <f>F11+F12</f>
        <v>575</v>
      </c>
      <c r="G13" s="66"/>
      <c r="H13" s="66"/>
    </row>
    <row r="14" spans="1:8" ht="21.75" customHeight="1" x14ac:dyDescent="0.3">
      <c r="A14" s="67" t="s">
        <v>152</v>
      </c>
      <c r="B14" s="51">
        <f>B8-B13</f>
        <v>3965</v>
      </c>
      <c r="C14" s="51">
        <f>C8-C13</f>
        <v>3615</v>
      </c>
      <c r="D14" s="51">
        <f>C14-B14</f>
        <v>-350</v>
      </c>
      <c r="E14" s="68">
        <f>D14/B14</f>
        <v>-8.8272383354350573E-2</v>
      </c>
      <c r="F14" s="51">
        <f>F8-F13</f>
        <v>3315</v>
      </c>
      <c r="G14" s="69"/>
      <c r="H14" s="69"/>
    </row>
    <row r="15" spans="1:8" ht="7.5" customHeight="1" x14ac:dyDescent="0.3"/>
    <row r="16" spans="1:8" ht="19.5" customHeight="1" x14ac:dyDescent="0.3">
      <c r="A16" s="20" t="s">
        <v>154</v>
      </c>
      <c r="B16" s="25"/>
      <c r="C16" s="25"/>
      <c r="D16" s="25"/>
      <c r="E16" s="25"/>
      <c r="F16" s="25"/>
      <c r="G16" s="25"/>
      <c r="H16" s="25"/>
    </row>
    <row r="17" spans="1:8" ht="19.5" customHeight="1" x14ac:dyDescent="0.3">
      <c r="A17" s="56" t="s">
        <v>155</v>
      </c>
      <c r="B17" s="36">
        <v>1480</v>
      </c>
      <c r="C17" s="36">
        <v>1620</v>
      </c>
      <c r="D17" s="38">
        <f>C17-B17</f>
        <v>140</v>
      </c>
      <c r="E17" s="37">
        <f>D17/B17</f>
        <v>9.45945945945946E-2</v>
      </c>
      <c r="F17" s="36">
        <v>1390</v>
      </c>
      <c r="G17" s="63" t="str">
        <f>IF(ABS(E17)&gt;0.1,"⚠","✓")</f>
        <v>✓</v>
      </c>
      <c r="H17" s="64" t="s">
        <v>183</v>
      </c>
    </row>
    <row r="18" spans="1:8" ht="19.5" customHeight="1" x14ac:dyDescent="0.3">
      <c r="A18" s="57" t="s">
        <v>184</v>
      </c>
      <c r="B18" s="58">
        <v>920</v>
      </c>
      <c r="C18" s="58">
        <v>955</v>
      </c>
      <c r="D18" s="59">
        <f>C18-B18</f>
        <v>35</v>
      </c>
      <c r="E18" s="60">
        <f>D18/B18</f>
        <v>3.8043478260869568E-2</v>
      </c>
      <c r="F18" s="58">
        <v>900</v>
      </c>
      <c r="G18" s="61" t="str">
        <f>IF(ABS(E18)&gt;0.1,"⚠","✓")</f>
        <v>✓</v>
      </c>
      <c r="H18" s="62" t="s">
        <v>185</v>
      </c>
    </row>
    <row r="19" spans="1:8" ht="19.5" customHeight="1" x14ac:dyDescent="0.3">
      <c r="A19" s="56" t="s">
        <v>186</v>
      </c>
      <c r="B19" s="36">
        <v>385</v>
      </c>
      <c r="C19" s="36">
        <v>420</v>
      </c>
      <c r="D19" s="38">
        <f>C19-B19</f>
        <v>35</v>
      </c>
      <c r="E19" s="37">
        <f>D19/B19</f>
        <v>9.0909090909090912E-2</v>
      </c>
      <c r="F19" s="36">
        <v>370</v>
      </c>
      <c r="G19" s="63" t="str">
        <f>IF(ABS(E19)&gt;0.1,"⚠","✓")</f>
        <v>✓</v>
      </c>
      <c r="H19" s="64" t="s">
        <v>187</v>
      </c>
    </row>
    <row r="20" spans="1:8" ht="21.75" customHeight="1" x14ac:dyDescent="0.3">
      <c r="A20" s="28" t="s">
        <v>158</v>
      </c>
      <c r="B20" s="29">
        <f>B17+B18+B19</f>
        <v>2785</v>
      </c>
      <c r="C20" s="29">
        <f>C17+C18+C19</f>
        <v>2995</v>
      </c>
      <c r="D20" s="29">
        <f>C20-B20</f>
        <v>210</v>
      </c>
      <c r="E20" s="65">
        <f>D20/B20</f>
        <v>7.5403949730700179E-2</v>
      </c>
      <c r="F20" s="29">
        <f>F17+F18+F19</f>
        <v>2660</v>
      </c>
      <c r="G20" s="66"/>
      <c r="H20" s="66"/>
    </row>
    <row r="21" spans="1:8" ht="7.5" customHeight="1" x14ac:dyDescent="0.3"/>
    <row r="22" spans="1:8" ht="21.75" customHeight="1" x14ac:dyDescent="0.3">
      <c r="A22" s="70" t="s">
        <v>159</v>
      </c>
      <c r="B22" s="54">
        <f>B14-B20</f>
        <v>1180</v>
      </c>
      <c r="C22" s="54">
        <f>C14-C20</f>
        <v>620</v>
      </c>
      <c r="D22" s="54">
        <f>C22-B22</f>
        <v>-560</v>
      </c>
      <c r="E22" s="71">
        <f>D22/B22</f>
        <v>-0.47457627118644069</v>
      </c>
      <c r="F22" s="54">
        <f>F14-F20</f>
        <v>655</v>
      </c>
      <c r="G22" s="24"/>
      <c r="H22" s="2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5" customWidth="1"/>
    <col min="2" max="2" width="28" customWidth="1"/>
    <col min="3" max="3" width="48" customWidth="1"/>
    <col min="4" max="4" width="28" customWidth="1"/>
  </cols>
  <sheetData>
    <row r="1" spans="1:4" ht="36" customHeight="1" x14ac:dyDescent="0.3">
      <c r="A1" s="87" t="s">
        <v>188</v>
      </c>
      <c r="B1" s="87"/>
      <c r="C1" s="87"/>
      <c r="D1" s="87"/>
    </row>
    <row r="3" spans="1:4" ht="24" customHeight="1" x14ac:dyDescent="0.3">
      <c r="A3" s="72" t="s">
        <v>189</v>
      </c>
      <c r="B3" s="73" t="s">
        <v>190</v>
      </c>
      <c r="C3" s="74" t="s">
        <v>191</v>
      </c>
      <c r="D3" s="75" t="s">
        <v>192</v>
      </c>
    </row>
    <row r="4" spans="1:4" ht="60" customHeight="1" x14ac:dyDescent="0.3">
      <c r="A4" s="73" t="s">
        <v>193</v>
      </c>
      <c r="B4" s="10" t="s">
        <v>194</v>
      </c>
      <c r="C4" s="76" t="s">
        <v>195</v>
      </c>
      <c r="D4" s="77" t="s">
        <v>196</v>
      </c>
    </row>
    <row r="5" spans="1:4" ht="60" customHeight="1" x14ac:dyDescent="0.3">
      <c r="A5" s="73" t="s">
        <v>197</v>
      </c>
      <c r="B5" s="10" t="s">
        <v>198</v>
      </c>
      <c r="C5" s="76" t="s">
        <v>199</v>
      </c>
      <c r="D5" s="77" t="s">
        <v>200</v>
      </c>
    </row>
    <row r="6" spans="1:4" ht="60" customHeight="1" x14ac:dyDescent="0.3">
      <c r="A6" s="73" t="s">
        <v>201</v>
      </c>
      <c r="B6" s="10" t="s">
        <v>202</v>
      </c>
      <c r="C6" s="76" t="s">
        <v>203</v>
      </c>
      <c r="D6" s="77" t="s">
        <v>204</v>
      </c>
    </row>
    <row r="7" spans="1:4" ht="60" customHeight="1" x14ac:dyDescent="0.3">
      <c r="A7" s="73" t="s">
        <v>205</v>
      </c>
      <c r="B7" s="10" t="s">
        <v>206</v>
      </c>
      <c r="C7" s="76" t="s">
        <v>207</v>
      </c>
      <c r="D7" s="77" t="s">
        <v>208</v>
      </c>
    </row>
    <row r="8" spans="1:4" ht="60" customHeight="1" x14ac:dyDescent="0.3">
      <c r="A8" s="73" t="s">
        <v>209</v>
      </c>
      <c r="B8" s="10" t="s">
        <v>210</v>
      </c>
      <c r="C8" s="76" t="s">
        <v>211</v>
      </c>
      <c r="D8" s="77" t="s">
        <v>212</v>
      </c>
    </row>
    <row r="10" spans="1:4" ht="13.5" customHeight="1" x14ac:dyDescent="0.3"/>
    <row r="11" spans="1:4" ht="27.75" customHeight="1" x14ac:dyDescent="0.3">
      <c r="A11" s="91" t="s">
        <v>213</v>
      </c>
      <c r="B11" s="91"/>
      <c r="C11" s="91"/>
      <c r="D11" s="91"/>
    </row>
    <row r="12" spans="1:4" ht="21.75" customHeight="1" x14ac:dyDescent="0.3">
      <c r="A12" s="32" t="s">
        <v>214</v>
      </c>
      <c r="B12" s="32" t="s">
        <v>215</v>
      </c>
      <c r="C12" s="32" t="s">
        <v>216</v>
      </c>
      <c r="D12" s="32" t="s">
        <v>217</v>
      </c>
    </row>
    <row r="13" spans="1:4" ht="27.75" customHeight="1" x14ac:dyDescent="0.3">
      <c r="A13" s="78" t="s">
        <v>11</v>
      </c>
      <c r="B13" s="79" t="s">
        <v>218</v>
      </c>
      <c r="C13" s="80" t="s">
        <v>219</v>
      </c>
      <c r="D13" s="81" t="s">
        <v>220</v>
      </c>
    </row>
    <row r="14" spans="1:4" ht="27.75" customHeight="1" x14ac:dyDescent="0.3">
      <c r="A14" s="22" t="s">
        <v>221</v>
      </c>
      <c r="B14" s="1" t="s">
        <v>222</v>
      </c>
      <c r="C14" s="82" t="s">
        <v>223</v>
      </c>
      <c r="D14" s="81" t="s">
        <v>224</v>
      </c>
    </row>
    <row r="15" spans="1:4" ht="27.75" customHeight="1" x14ac:dyDescent="0.3">
      <c r="A15" s="78" t="s">
        <v>20</v>
      </c>
      <c r="B15" s="79" t="s">
        <v>225</v>
      </c>
      <c r="C15" s="80" t="s">
        <v>226</v>
      </c>
      <c r="D15" s="81" t="s">
        <v>227</v>
      </c>
    </row>
    <row r="16" spans="1:4" ht="27.75" customHeight="1" x14ac:dyDescent="0.3">
      <c r="A16" s="22" t="s">
        <v>228</v>
      </c>
      <c r="B16" s="1" t="s">
        <v>229</v>
      </c>
      <c r="C16" s="82" t="s">
        <v>230</v>
      </c>
      <c r="D16" s="81" t="s">
        <v>231</v>
      </c>
    </row>
    <row r="19" spans="1:4" ht="13.5" customHeight="1" x14ac:dyDescent="0.3"/>
    <row r="20" spans="1:4" x14ac:dyDescent="0.3">
      <c r="A20" s="92" t="s">
        <v>232</v>
      </c>
      <c r="B20" s="92"/>
      <c r="C20" s="92"/>
      <c r="D20" s="92"/>
    </row>
  </sheetData>
  <mergeCells count="3">
    <mergeCell ref="A1:D1"/>
    <mergeCell ref="A11:D11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</vt:lpstr>
      <vt:lpstr>Intro</vt:lpstr>
      <vt:lpstr>Other Models</vt:lpstr>
      <vt:lpstr>Prompt Library</vt:lpstr>
      <vt:lpstr>Tests</vt:lpstr>
      <vt:lpstr>Datasets →</vt:lpstr>
      <vt:lpstr>Dataset 1 – Cash Flow</vt:lpstr>
      <vt:lpstr>Dataset 2 – Revenue</vt:lpstr>
      <vt:lpstr>📊 Dataset 3 – Headcount</vt:lpstr>
      <vt:lpstr>📊 Dataset 4 – P&amp;L</vt:lpstr>
      <vt:lpstr>📊 Dataset 5 – Budget vs Actual</vt:lpstr>
      <vt:lpstr>📖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Martinez</dc:creator>
  <dc:description/>
  <cp:lastModifiedBy>Christian M</cp:lastModifiedBy>
  <cp:revision>0</cp:revision>
  <dcterms:created xsi:type="dcterms:W3CDTF">2026-06-09T17:38:34Z</dcterms:created>
  <dcterms:modified xsi:type="dcterms:W3CDTF">2026-06-11T06:23:48Z</dcterms:modified>
  <dc:language>en-US</dc:language>
</cp:coreProperties>
</file>